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32" yWindow="588" windowWidth="22716" windowHeight="8676" firstSheet="1" activeTab="1"/>
  </bookViews>
  <sheets>
    <sheet name="Correlation Analysis" sheetId="1" r:id="rId1"/>
    <sheet name="Regression Analysis" sheetId="2" r:id="rId2"/>
    <sheet name="Covariance Analysis" sheetId="3" r:id="rId3"/>
    <sheet name="Moving Average" sheetId="4" r:id="rId4"/>
    <sheet name="Descriptive Stats" sheetId="5" r:id="rId5"/>
    <sheet name="Goal Seek" sheetId="6" r:id="rId6"/>
    <sheet name="Scenario Summary" sheetId="9" r:id="rId7"/>
    <sheet name="Scenario Manager" sheetId="7" r:id="rId8"/>
  </sheets>
  <calcPr calcId="125725"/>
</workbook>
</file>

<file path=xl/calcChain.xml><?xml version="1.0" encoding="utf-8"?>
<calcChain xmlns="http://schemas.openxmlformats.org/spreadsheetml/2006/main">
  <c r="G6" i="7"/>
  <c r="G5"/>
  <c r="F6"/>
  <c r="F5"/>
  <c r="E6"/>
  <c r="E5"/>
  <c r="G4"/>
  <c r="F4"/>
  <c r="E4"/>
  <c r="B13"/>
  <c r="B9"/>
  <c r="B11"/>
  <c r="B12" s="1"/>
  <c r="B10"/>
  <c r="B9" i="6"/>
  <c r="C5"/>
  <c r="B5"/>
  <c r="E8" i="4"/>
  <c r="E9"/>
  <c r="E10"/>
  <c r="E11"/>
  <c r="E12"/>
  <c r="E13"/>
  <c r="E14"/>
  <c r="E15"/>
  <c r="E16"/>
  <c r="E17"/>
  <c r="E18"/>
  <c r="E19"/>
  <c r="E20"/>
  <c r="E21"/>
  <c r="E22"/>
  <c r="E23"/>
  <c r="E24"/>
  <c r="E25"/>
  <c r="E26"/>
  <c r="E27"/>
  <c r="E28"/>
  <c r="E29"/>
  <c r="E30"/>
  <c r="E31"/>
  <c r="D6"/>
  <c r="D7"/>
  <c r="D8"/>
  <c r="D9"/>
  <c r="D10"/>
  <c r="D11"/>
  <c r="D12"/>
  <c r="D13"/>
  <c r="D14"/>
  <c r="D15"/>
  <c r="D16"/>
  <c r="D17"/>
  <c r="D18"/>
  <c r="D19"/>
  <c r="D20"/>
  <c r="D21"/>
  <c r="D22"/>
  <c r="D23"/>
  <c r="D24"/>
  <c r="D25"/>
  <c r="D26"/>
  <c r="D27"/>
  <c r="D28"/>
  <c r="D29"/>
  <c r="D30"/>
  <c r="D31"/>
  <c r="C4"/>
  <c r="C5"/>
  <c r="C6"/>
  <c r="C7"/>
  <c r="C8"/>
  <c r="C9"/>
  <c r="C10"/>
  <c r="C11"/>
  <c r="C12"/>
  <c r="C13"/>
  <c r="C14"/>
  <c r="C15"/>
  <c r="C16"/>
  <c r="C17"/>
  <c r="C18"/>
  <c r="C19"/>
  <c r="C20"/>
  <c r="C21"/>
  <c r="C22"/>
  <c r="C23"/>
  <c r="C24"/>
  <c r="C25"/>
  <c r="C26"/>
  <c r="C27"/>
  <c r="C28"/>
  <c r="C29"/>
  <c r="C30"/>
  <c r="C31"/>
  <c r="G13" i="3"/>
  <c r="G12"/>
  <c r="I5"/>
  <c r="H4"/>
  <c r="G3"/>
</calcChain>
</file>

<file path=xl/sharedStrings.xml><?xml version="1.0" encoding="utf-8"?>
<sst xmlns="http://schemas.openxmlformats.org/spreadsheetml/2006/main" count="282" uniqueCount="231">
  <si>
    <t>Month</t>
  </si>
  <si>
    <t>Advertising Spend</t>
  </si>
  <si>
    <t>Sales Revenue</t>
  </si>
  <si>
    <t>Temperature</t>
  </si>
  <si>
    <t>Competitors</t>
  </si>
  <si>
    <t>Jan</t>
  </si>
  <si>
    <t>Feb</t>
  </si>
  <si>
    <t>Mar</t>
  </si>
  <si>
    <t>Apr</t>
  </si>
  <si>
    <t>May</t>
  </si>
  <si>
    <t>Jun</t>
  </si>
  <si>
    <t>Jul</t>
  </si>
  <si>
    <t>Aug</t>
  </si>
  <si>
    <t>Sep</t>
  </si>
  <si>
    <t>Oct</t>
  </si>
  <si>
    <t>Nov</t>
  </si>
  <si>
    <t>Dec</t>
  </si>
  <si>
    <t>Items Ordered</t>
  </si>
  <si>
    <t>Day</t>
  </si>
  <si>
    <t>Website Visits</t>
  </si>
  <si>
    <t>Employee</t>
  </si>
  <si>
    <t>Score</t>
  </si>
  <si>
    <t>Experience (yrs)</t>
  </si>
  <si>
    <t>Training Hours</t>
  </si>
  <si>
    <t>Department</t>
  </si>
  <si>
    <t>Sales</t>
  </si>
  <si>
    <t>IT</t>
  </si>
  <si>
    <t>HR</t>
  </si>
  <si>
    <t>Marketing</t>
  </si>
  <si>
    <t>Component</t>
  </si>
  <si>
    <t>Weight</t>
  </si>
  <si>
    <t>Quiz 1</t>
  </si>
  <si>
    <t>Quiz 2</t>
  </si>
  <si>
    <t>Quiz 3</t>
  </si>
  <si>
    <t>Final Exam</t>
  </si>
  <si>
    <t>Participation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</si>
  <si>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</si>
  <si>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</si>
  <si>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</si>
  <si>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</si>
  <si>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</si>
  <si>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</si>
  <si>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</si>
  <si>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</si>
  <si>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</si>
  <si>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</si>
  <si>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</si>
  <si>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</si>
  <si>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</si>
  <si>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</si>
  <si>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</si>
  <si>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</si>
  <si>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</si>
  <si>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</si>
  <si>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</si>
  <si>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</si>
  <si>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</si>
  <si>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</si>
  <si>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</si>
  <si>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</si>
  <si>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Questions:</t>
  </si>
  <si>
    <t>• Which variable has the strongest correlation with sales?</t>
  </si>
  <si>
    <t>• What does a negative correlation indicate in business context?</t>
  </si>
  <si>
    <t>• Which correlation would be most useful for business planning?</t>
  </si>
  <si>
    <t>Distance (Miles)</t>
  </si>
  <si>
    <t>Delivery Time (Min)</t>
  </si>
  <si>
    <t>Satisfaction (1-10)</t>
  </si>
  <si>
    <t>X Variable 1</t>
  </si>
  <si>
    <t>• What does the slope coefficient tell you about delivery efficiency?</t>
  </si>
  <si>
    <t>• How much of the variation in delivery time is explained by distance?</t>
  </si>
  <si>
    <t>Market Index (%)</t>
  </si>
  <si>
    <t>Stock A (%)</t>
  </si>
  <si>
    <t>Stock B (%)</t>
  </si>
  <si>
    <t>Covariance Results</t>
  </si>
  <si>
    <t>Stock A vs Market</t>
  </si>
  <si>
    <t>Stock B vs Market</t>
  </si>
  <si>
    <t>1. Calculate covariance between each stock and the market index</t>
  </si>
  <si>
    <t>2. Compare the results and interpret the relationships</t>
  </si>
  <si>
    <t>Tasks:</t>
  </si>
  <si>
    <t>S</t>
  </si>
  <si>
    <t>Both of your stocks have a positive covariance with the Market Index.</t>
  </si>
  <si>
    <t xml:space="preserve">         Direction of Movement (Positive Covariance):</t>
  </si>
  <si>
    <t>When the Market Index rises, both Stock A and Stock B generally rise. Conversely, if the Market crashes, both stocks are likely to fall.</t>
  </si>
  <si>
    <r>
      <rPr>
        <b/>
        <sz val="12"/>
        <color theme="1"/>
        <rFont val="Calibri"/>
        <family val="2"/>
        <scheme val="minor"/>
      </rPr>
      <t xml:space="preserve">                 Meaning: </t>
    </r>
    <r>
      <rPr>
        <b/>
        <sz val="12"/>
        <color rgb="FFFF0000"/>
        <rFont val="Calibri"/>
        <family val="2"/>
        <scheme val="minor"/>
      </rPr>
      <t>This means that both Stock A and Stock B tend to move in the same direction as the market.</t>
    </r>
  </si>
  <si>
    <t>Stock A (0.2576) has a slightly higher covariance with the market than Stock B (0.2240).</t>
  </si>
  <si>
    <t xml:space="preserve">        </t>
  </si>
  <si>
    <t xml:space="preserve">        Strength of Relationship:</t>
  </si>
  <si>
    <r>
      <rPr>
        <b/>
        <sz val="12"/>
        <color theme="1"/>
        <rFont val="Calibri"/>
        <family val="2"/>
        <scheme val="minor"/>
      </rPr>
      <t xml:space="preserve">                 Meaning:</t>
    </r>
    <r>
      <rPr>
        <b/>
        <sz val="12"/>
        <color rgb="FFFF0000"/>
        <rFont val="Calibri"/>
        <family val="2"/>
        <scheme val="minor"/>
      </rPr>
      <t xml:space="preserve"> Stock A is slightly more sensitive to market movements or varies more in line with the market than Stock B does, though the </t>
    </r>
  </si>
  <si>
    <t>difference is small.</t>
  </si>
  <si>
    <r>
      <t xml:space="preserve">The slope coefficient (X Variable 1) is </t>
    </r>
    <r>
      <rPr>
        <b/>
        <sz val="12"/>
        <color rgb="FFFF0000"/>
        <rFont val="Calibri"/>
        <family val="2"/>
        <scheme val="minor"/>
      </rPr>
      <t>4.3957</t>
    </r>
    <r>
      <rPr>
        <sz val="12"/>
        <color rgb="FFFF0000"/>
        <rFont val="Calibri"/>
        <family val="2"/>
        <scheme val="minor"/>
      </rPr>
      <t>.</t>
    </r>
  </si>
  <si>
    <r>
      <t xml:space="preserve">This means that </t>
    </r>
    <r>
      <rPr>
        <b/>
        <sz val="12"/>
        <color rgb="FFFF0000"/>
        <rFont val="Calibri"/>
        <family val="2"/>
        <scheme val="minor"/>
      </rPr>
      <t>for every 1-mile increase in distance from the store, the delivery time increases by approximately 4.4 minutes</t>
    </r>
    <r>
      <rPr>
        <sz val="12"/>
        <color rgb="FFFF0000"/>
        <rFont val="Calibri"/>
        <family val="2"/>
        <scheme val="minor"/>
      </rPr>
      <t>.</t>
    </r>
  </si>
  <si>
    <r>
      <t xml:space="preserve">This indicates that distance has a </t>
    </r>
    <r>
      <rPr>
        <b/>
        <sz val="12"/>
        <color rgb="FFFF0000"/>
        <rFont val="Calibri"/>
        <family val="2"/>
        <scheme val="minor"/>
      </rPr>
      <t>strong and significant impact</t>
    </r>
    <r>
      <rPr>
        <sz val="12"/>
        <color rgb="FFFF0000"/>
        <rFont val="Calibri"/>
        <family val="2"/>
        <scheme val="minor"/>
      </rPr>
      <t xml:space="preserve"> on delivery efficiency—the farther the customer is, the longer the delivery time.</t>
    </r>
  </si>
  <si>
    <r>
      <t xml:space="preserve">The </t>
    </r>
    <r>
      <rPr>
        <b/>
        <sz val="12"/>
        <color rgb="FFFF0000"/>
        <rFont val="Calibri"/>
        <family val="2"/>
        <scheme val="minor"/>
      </rPr>
      <t>R-square value is 0.9908</t>
    </r>
    <r>
      <rPr>
        <sz val="12"/>
        <color rgb="FFFF0000"/>
        <rFont val="Calibri"/>
        <family val="2"/>
        <scheme val="minor"/>
      </rPr>
      <t>.</t>
    </r>
  </si>
  <si>
    <r>
      <t xml:space="preserve">This means that </t>
    </r>
    <r>
      <rPr>
        <b/>
        <sz val="12"/>
        <color rgb="FFFF0000"/>
        <rFont val="Calibri"/>
        <family val="2"/>
        <scheme val="minor"/>
      </rPr>
      <t>about 99% of the variation in delivery time is explained by distance from the store</t>
    </r>
    <r>
      <rPr>
        <sz val="12"/>
        <color rgb="FFFF0000"/>
        <rFont val="Calibri"/>
        <family val="2"/>
        <scheme val="minor"/>
      </rPr>
      <t>.</t>
    </r>
  </si>
  <si>
    <r>
      <t xml:space="preserve">Only about </t>
    </r>
    <r>
      <rPr>
        <b/>
        <sz val="12"/>
        <color rgb="FFFF0000"/>
        <rFont val="Calibri"/>
        <family val="2"/>
        <scheme val="minor"/>
      </rPr>
      <t>1% of the variation</t>
    </r>
    <r>
      <rPr>
        <sz val="12"/>
        <color rgb="FFFF0000"/>
        <rFont val="Calibri"/>
        <family val="2"/>
        <scheme val="minor"/>
      </rPr>
      <t xml:space="preserve"> is due to other factors, showing that distance is the </t>
    </r>
    <r>
      <rPr>
        <b/>
        <sz val="12"/>
        <color rgb="FFFF0000"/>
        <rFont val="Calibri"/>
        <family val="2"/>
        <scheme val="minor"/>
      </rPr>
      <t>primary determinant</t>
    </r>
    <r>
      <rPr>
        <sz val="12"/>
        <color rgb="FFFF0000"/>
        <rFont val="Calibri"/>
        <family val="2"/>
        <scheme val="minor"/>
      </rPr>
      <t xml:space="preserve"> of delivery time.</t>
    </r>
  </si>
  <si>
    <t>This shows a very strong positive relationship between advertising spend and sales.</t>
  </si>
  <si>
    <t>In a business context, this means increasing one factor (such as competitors or costs) may lead to a decrease in performance measures like sales or profit.</t>
  </si>
  <si>
    <r>
      <t>Advertising Spend</t>
    </r>
    <r>
      <rPr>
        <sz val="12"/>
        <color rgb="FFFF0000"/>
        <rFont val="Calibri"/>
        <family val="2"/>
        <scheme val="minor"/>
      </rPr>
      <t xml:space="preserve"> has the strongest correlation with Sales Revenue</t>
    </r>
  </si>
  <si>
    <r>
      <t xml:space="preserve">(Correlation coefficient ≈ </t>
    </r>
    <r>
      <rPr>
        <b/>
        <sz val="12"/>
        <color rgb="FFFF0000"/>
        <rFont val="Calibri"/>
        <family val="2"/>
        <scheme val="minor"/>
      </rPr>
      <t>0.9975</t>
    </r>
    <r>
      <rPr>
        <sz val="12"/>
        <color rgb="FFFF0000"/>
        <rFont val="Calibri"/>
        <family val="2"/>
        <scheme val="minor"/>
      </rPr>
      <t>, which is very close to 1).</t>
    </r>
  </si>
  <si>
    <r>
      <t xml:space="preserve">A </t>
    </r>
    <r>
      <rPr>
        <b/>
        <sz val="12"/>
        <color rgb="FFFF0000"/>
        <rFont val="Calibri"/>
        <family val="2"/>
        <scheme val="minor"/>
      </rPr>
      <t>negative correlation</t>
    </r>
    <r>
      <rPr>
        <sz val="12"/>
        <color rgb="FFFF0000"/>
        <rFont val="Calibri"/>
        <family val="2"/>
        <scheme val="minor"/>
      </rPr>
      <t xml:space="preserve"> indicates that </t>
    </r>
    <r>
      <rPr>
        <b/>
        <sz val="12"/>
        <color rgb="FFFF0000"/>
        <rFont val="Calibri"/>
        <family val="2"/>
        <scheme val="minor"/>
      </rPr>
      <t>as one variable increases, the other decreases</t>
    </r>
    <r>
      <rPr>
        <sz val="12"/>
        <color rgb="FFFF0000"/>
        <rFont val="Calibri"/>
        <family val="2"/>
        <scheme val="minor"/>
      </rPr>
      <t>.</t>
    </r>
  </si>
  <si>
    <r>
      <t xml:space="preserve">The </t>
    </r>
    <r>
      <rPr>
        <b/>
        <sz val="12"/>
        <color rgb="FFFF0000"/>
        <rFont val="Calibri"/>
        <family val="2"/>
        <scheme val="minor"/>
      </rPr>
      <t>correlation between Advertising Spend and Sales Revenue</t>
    </r>
    <r>
      <rPr>
        <sz val="12"/>
        <color rgb="FFFF0000"/>
        <rFont val="Calibri"/>
        <family val="2"/>
        <scheme val="minor"/>
      </rPr>
      <t xml:space="preserve"> is the most useful for business planning because it helps businesses decide how changes in advertising budget are likely to impact sales and revenue growth.</t>
    </r>
  </si>
  <si>
    <t>3-Day MA</t>
  </si>
  <si>
    <t>5-Day MA</t>
  </si>
  <si>
    <t>7- Day MA</t>
  </si>
  <si>
    <t>Identify Trends and Patterns</t>
  </si>
  <si>
    <t xml:space="preserve"> • Which moving average best smooths out daily fluctuations?</t>
  </si>
  <si>
    <t xml:space="preserve">Questions: </t>
  </si>
  <si>
    <t>• When would you use a shorter vs. longer moving average period?</t>
  </si>
  <si>
    <r>
      <t xml:space="preserve">The original website traffic data shows </t>
    </r>
    <r>
      <rPr>
        <b/>
        <sz val="12"/>
        <color theme="1"/>
        <rFont val="Calibri"/>
        <family val="2"/>
        <scheme val="minor"/>
      </rPr>
      <t>daily fluctuations</t>
    </r>
    <r>
      <rPr>
        <sz val="12"/>
        <color theme="1"/>
        <rFont val="Calibri"/>
        <family val="2"/>
        <scheme val="minor"/>
      </rPr>
      <t>, with noticeable ups and downs throughout the 30 days.</t>
    </r>
  </si>
  <si>
    <r>
      <t xml:space="preserve">Despite short-term variations, all three moving averages indicate an </t>
    </r>
    <r>
      <rPr>
        <b/>
        <sz val="12"/>
        <color theme="1"/>
        <rFont val="Calibri"/>
        <family val="2"/>
        <scheme val="minor"/>
      </rPr>
      <t>overall upward trend</t>
    </r>
    <r>
      <rPr>
        <sz val="12"/>
        <color theme="1"/>
        <rFont val="Calibri"/>
        <family val="2"/>
        <scheme val="minor"/>
      </rPr>
      <t xml:space="preserve"> in website visits toward the end of the period.</t>
    </r>
  </si>
  <si>
    <r>
      <t xml:space="preserve">The </t>
    </r>
    <r>
      <rPr>
        <b/>
        <sz val="12"/>
        <color theme="1"/>
        <rFont val="Calibri"/>
        <family val="2"/>
        <scheme val="minor"/>
      </rPr>
      <t>3-day moving average</t>
    </r>
    <r>
      <rPr>
        <sz val="12"/>
        <color theme="1"/>
        <rFont val="Calibri"/>
        <family val="2"/>
        <scheme val="minor"/>
      </rPr>
      <t xml:space="preserve"> reacts quickly to daily changes and closely follows the original data, making it useful for identifying short-term spikes and drops.</t>
    </r>
  </si>
  <si>
    <r>
      <t xml:space="preserve">The </t>
    </r>
    <r>
      <rPr>
        <b/>
        <sz val="12"/>
        <color theme="1"/>
        <rFont val="Calibri"/>
        <family val="2"/>
        <scheme val="minor"/>
      </rPr>
      <t>5-day moving average</t>
    </r>
    <r>
      <rPr>
        <sz val="12"/>
        <color theme="1"/>
        <rFont val="Calibri"/>
        <family val="2"/>
        <scheme val="minor"/>
      </rPr>
      <t xml:space="preserve"> smooths out more noise and provides a clearer view of the medium-term trend.</t>
    </r>
  </si>
  <si>
    <r>
      <t xml:space="preserve">The </t>
    </r>
    <r>
      <rPr>
        <b/>
        <sz val="12"/>
        <color theme="1"/>
        <rFont val="Calibri"/>
        <family val="2"/>
        <scheme val="minor"/>
      </rPr>
      <t>7-day moving average</t>
    </r>
    <r>
      <rPr>
        <sz val="12"/>
        <color theme="1"/>
        <rFont val="Calibri"/>
        <family val="2"/>
        <scheme val="minor"/>
      </rPr>
      <t xml:space="preserve"> is the smoothest and best highlights the </t>
    </r>
    <r>
      <rPr>
        <b/>
        <sz val="12"/>
        <color theme="1"/>
        <rFont val="Calibri"/>
        <family val="2"/>
        <scheme val="minor"/>
      </rPr>
      <t>long-term growth pattern</t>
    </r>
    <r>
      <rPr>
        <sz val="12"/>
        <color theme="1"/>
        <rFont val="Calibri"/>
        <family val="2"/>
        <scheme val="minor"/>
      </rPr>
      <t xml:space="preserve"> in website traffic.</t>
    </r>
  </si>
  <si>
    <r>
      <t xml:space="preserve">A slight dip in traffic is observed around the middle of the period, followed by a </t>
    </r>
    <r>
      <rPr>
        <b/>
        <sz val="12"/>
        <color theme="1"/>
        <rFont val="Calibri"/>
        <family val="2"/>
        <scheme val="minor"/>
      </rPr>
      <t>strong recovery and consistent increase</t>
    </r>
    <r>
      <rPr>
        <sz val="12"/>
        <color theme="1"/>
        <rFont val="Calibri"/>
        <family val="2"/>
        <scheme val="minor"/>
      </rPr>
      <t xml:space="preserve"> in visits toward the final days.</t>
    </r>
  </si>
  <si>
    <r>
      <t>The </t>
    </r>
    <r>
      <rPr>
        <b/>
        <sz val="12"/>
        <color rgb="FFFF0000"/>
        <rFont val="Calibri"/>
        <family val="2"/>
        <scheme val="minor"/>
      </rPr>
      <t>7-day moving average</t>
    </r>
    <r>
      <rPr>
        <sz val="12"/>
        <color rgb="FFFF0000"/>
        <rFont val="Calibri"/>
        <family val="2"/>
        <scheme val="minor"/>
      </rPr>
      <t> (the light blue line).</t>
    </r>
  </si>
  <si>
    <r>
      <t>Reason:</t>
    </r>
    <r>
      <rPr>
        <sz val="12"/>
        <color rgb="FFFF0000"/>
        <rFont val="Calibri"/>
        <family val="2"/>
        <scheme val="minor"/>
      </rPr>
      <t> As stated in your text, it is the smoothest line and filters out the daily "noise" or jagged spikes seen in the original data (red line) and the shorter averages. It provides the clearest view of the underlying direction.</t>
    </r>
  </si>
  <si>
    <t>• What trends can you identify from the moving averages?</t>
  </si>
  <si>
    <r>
      <t>There is a </t>
    </r>
    <r>
      <rPr>
        <b/>
        <sz val="12"/>
        <color rgb="FFFF0000"/>
        <rFont val="Calibri"/>
        <family val="2"/>
        <scheme val="minor"/>
      </rPr>
      <t>"Dip and Recover"</t>
    </r>
    <r>
      <rPr>
        <sz val="12"/>
        <color rgb="FFFF0000"/>
        <rFont val="Calibri"/>
        <family val="2"/>
        <scheme val="minor"/>
      </rPr>
      <t> trend followed by </t>
    </r>
    <r>
      <rPr>
        <b/>
        <sz val="12"/>
        <color rgb="FFFF0000"/>
        <rFont val="Calibri"/>
        <family val="2"/>
        <scheme val="minor"/>
      </rPr>
      <t>overall growth</t>
    </r>
    <r>
      <rPr>
        <sz val="12"/>
        <color rgb="FFFF0000"/>
        <rFont val="Calibri"/>
        <family val="2"/>
        <scheme val="minor"/>
      </rPr>
      <t>.</t>
    </r>
  </si>
  <si>
    <r>
      <t>Reason:</t>
    </r>
    <r>
      <rPr>
        <sz val="12"/>
        <color rgb="FFFF0000"/>
        <rFont val="Calibri"/>
        <family val="2"/>
        <scheme val="minor"/>
      </rPr>
      <t> The moving averages show a slight decline in traffic around the middle of the month (roughly days 13–17), followed by a </t>
    </r>
    <r>
      <rPr>
        <b/>
        <sz val="12"/>
        <color rgb="FFFF0000"/>
        <rFont val="Calibri"/>
        <family val="2"/>
        <scheme val="minor"/>
      </rPr>
      <t>strong recovery and consistent upward trend</t>
    </r>
    <r>
      <rPr>
        <sz val="12"/>
        <color rgb="FFFF0000"/>
        <rFont val="Calibri"/>
        <family val="2"/>
        <scheme val="minor"/>
      </rPr>
      <t> toward the end of the 30-day period.</t>
    </r>
  </si>
  <si>
    <r>
      <t xml:space="preserve">A </t>
    </r>
    <r>
      <rPr>
        <b/>
        <sz val="12"/>
        <color rgb="FFFF0000"/>
        <rFont val="Calibri"/>
        <family val="2"/>
        <scheme val="minor"/>
      </rPr>
      <t>shorter moving average</t>
    </r>
    <r>
      <rPr>
        <sz val="12"/>
        <color rgb="FFFF0000"/>
        <rFont val="Calibri"/>
        <family val="2"/>
        <scheme val="minor"/>
      </rPr>
      <t xml:space="preserve"> (such as 3-day) is used to track </t>
    </r>
    <r>
      <rPr>
        <b/>
        <sz val="12"/>
        <color rgb="FFFF0000"/>
        <rFont val="Calibri"/>
        <family val="2"/>
        <scheme val="minor"/>
      </rPr>
      <t>short-term changes and sudden spikes or drops</t>
    </r>
    <r>
      <rPr>
        <sz val="12"/>
        <color rgb="FFFF0000"/>
        <rFont val="Calibri"/>
        <family val="2"/>
        <scheme val="minor"/>
      </rPr>
      <t xml:space="preserve">, while a </t>
    </r>
    <r>
      <rPr>
        <b/>
        <sz val="12"/>
        <color rgb="FFFF0000"/>
        <rFont val="Calibri"/>
        <family val="2"/>
        <scheme val="minor"/>
      </rPr>
      <t>longer moving average</t>
    </r>
    <r>
      <rPr>
        <sz val="12"/>
        <color rgb="FFFF0000"/>
        <rFont val="Calibri"/>
        <family val="2"/>
        <scheme val="minor"/>
      </rPr>
      <t xml:space="preserve"> (such as 7-day) is used to identify </t>
    </r>
    <r>
      <rPr>
        <b/>
        <sz val="12"/>
        <color rgb="FFFF0000"/>
        <rFont val="Calibri"/>
        <family val="2"/>
        <scheme val="minor"/>
      </rPr>
      <t>long-term trends and overall direction</t>
    </r>
    <r>
      <rPr>
        <sz val="12"/>
        <color rgb="FFFF0000"/>
        <rFont val="Calibri"/>
        <family val="2"/>
        <scheme val="minor"/>
      </rPr>
      <t>.</t>
    </r>
  </si>
  <si>
    <t>Mean</t>
  </si>
  <si>
    <t>Median</t>
  </si>
  <si>
    <t>Mode</t>
  </si>
  <si>
    <t>Standard Deviation</t>
  </si>
  <si>
    <t>Sample Variance</t>
  </si>
  <si>
    <t>Kurtosis</t>
  </si>
  <si>
    <t>Skewness</t>
  </si>
  <si>
    <t>Range</t>
  </si>
  <si>
    <t>Minimum</t>
  </si>
  <si>
    <t>Maximum</t>
  </si>
  <si>
    <t>Sum</t>
  </si>
  <si>
    <t>Count</t>
  </si>
  <si>
    <t>Calculations and Interpretation</t>
  </si>
  <si>
    <t>1. Mean (Average)</t>
  </si>
  <si>
    <t>Mean Score ≈ 74.2</t>
  </si>
  <si>
    <t>2. Median</t>
  </si>
  <si>
    <t>Median Score = 73</t>
  </si>
  <si>
    <t>3. Mode</t>
  </si>
  <si>
    <t>4. Standard Deviation</t>
  </si>
  <si>
    <t>5. Variance</t>
  </si>
  <si>
    <t>6. Skewness</t>
  </si>
  <si>
    <t>Mode = 79</t>
  </si>
  <si>
    <t>Standard Deviation ≈ 9.8</t>
  </si>
  <si>
    <t>Variance ≈ 97.1</t>
  </si>
  <si>
    <t>Skewness ≈ +0.4 (slightly positive)</t>
  </si>
  <si>
    <t>1. What does the standard deviation tell you about performance consistency?</t>
  </si>
  <si>
    <t xml:space="preserve"> This means that while most employees perform close to the average, there are some differences in performance, but they are not extreme. Overall, employee performance is fairly consistent.</t>
  </si>
  <si>
    <t>2. Are the scores normally distributed?</t>
  </si>
  <si>
    <t xml:space="preserve"> However, the distribution is still close to normal, with most scores clustered around the mean.</t>
  </si>
  <si>
    <t>3. Which department shows the most consistent performance?</t>
  </si>
  <si>
    <t>The scores in IT have less variation compared to other departments, indicating more uniform employee performance.</t>
  </si>
  <si>
    <r>
      <t>Interpretation:</t>
    </r>
    <r>
      <rPr>
        <b/>
        <sz val="12"/>
        <color rgb="FFFF0000"/>
        <rFont val="Calibri"/>
        <family val="2"/>
        <scheme val="minor"/>
      </rPr>
      <t>On average, employee performance is moderate to good, indicating a reasonably strong overall performance level across employees.</t>
    </r>
  </si>
  <si>
    <r>
      <t>Interpretation:</t>
    </r>
    <r>
      <rPr>
        <b/>
        <sz val="12"/>
        <color rgb="FFFF0000"/>
        <rFont val="Calibri"/>
        <family val="2"/>
        <scheme val="minor"/>
      </rPr>
      <t>Half of the employees scored below 73 and half scored above 73, showing that performance is fairly balanced around the average.</t>
    </r>
  </si>
  <si>
    <r>
      <t>Interpretation:</t>
    </r>
    <r>
      <rPr>
        <b/>
        <sz val="12"/>
        <color rgb="FFFF0000"/>
        <rFont val="Calibri"/>
        <family val="2"/>
        <scheme val="minor"/>
      </rPr>
      <t>The score 65 appears most frequently, suggesting a common performance level slightly below the average.</t>
    </r>
  </si>
  <si>
    <r>
      <t>Interpretation:</t>
    </r>
    <r>
      <rPr>
        <b/>
        <sz val="12"/>
        <color rgb="FFFF0000"/>
        <rFont val="Calibri"/>
        <family val="2"/>
        <scheme val="minor"/>
      </rPr>
      <t>This indicates a moderate spread in performance scores. Employee performance varies, but not extremely.</t>
    </r>
  </si>
  <si>
    <r>
      <t>Interpretation:</t>
    </r>
    <r>
      <rPr>
        <b/>
        <sz val="12"/>
        <color rgb="FFFF0000"/>
        <rFont val="Calibri"/>
        <family val="2"/>
        <scheme val="minor"/>
      </rPr>
      <t>The variance confirms there is a noticeable difference in performance levels among employees.</t>
    </r>
  </si>
  <si>
    <r>
      <t>Interpretation:</t>
    </r>
    <r>
      <rPr>
        <b/>
        <sz val="12"/>
        <color rgb="FFFF0000"/>
        <rFont val="Calibri"/>
        <family val="2"/>
        <scheme val="minor"/>
      </rPr>
      <t>The distribution is slightly right-skewed, meaning a few employees have very high performance scores, pulling the average upward.</t>
    </r>
  </si>
  <si>
    <r>
      <t xml:space="preserve">The standard deviation is approximately </t>
    </r>
    <r>
      <rPr>
        <b/>
        <sz val="12"/>
        <color rgb="FFFF0000"/>
        <rFont val="Calibri"/>
        <family val="2"/>
        <scheme val="minor"/>
      </rPr>
      <t>9.8</t>
    </r>
    <r>
      <rPr>
        <sz val="12"/>
        <color rgb="FFFF0000"/>
        <rFont val="Calibri"/>
        <family val="2"/>
        <scheme val="minor"/>
      </rPr>
      <t xml:space="preserve">, which indicates a </t>
    </r>
    <r>
      <rPr>
        <b/>
        <sz val="12"/>
        <color rgb="FFFF0000"/>
        <rFont val="Calibri"/>
        <family val="2"/>
        <scheme val="minor"/>
      </rPr>
      <t>moderate level of variability</t>
    </r>
    <r>
      <rPr>
        <sz val="12"/>
        <color rgb="FFFF0000"/>
        <rFont val="Calibri"/>
        <family val="2"/>
        <scheme val="minor"/>
      </rPr>
      <t xml:space="preserve"> in employee performance scores.</t>
    </r>
  </si>
  <si>
    <r>
      <t xml:space="preserve">The scores are </t>
    </r>
    <r>
      <rPr>
        <b/>
        <sz val="12"/>
        <color rgb="FFFF0000"/>
        <rFont val="Calibri"/>
        <family val="2"/>
        <scheme val="minor"/>
      </rPr>
      <t>approximately normally distributed</t>
    </r>
    <r>
      <rPr>
        <sz val="12"/>
        <color rgb="FFFF0000"/>
        <rFont val="Calibri"/>
        <family val="2"/>
        <scheme val="minor"/>
      </rPr>
      <t xml:space="preserve">. The skewness value is </t>
    </r>
    <r>
      <rPr>
        <b/>
        <sz val="12"/>
        <color rgb="FFFF0000"/>
        <rFont val="Calibri"/>
        <family val="2"/>
        <scheme val="minor"/>
      </rPr>
      <t>slightly positive (≈ +0.4)</t>
    </r>
    <r>
      <rPr>
        <sz val="12"/>
        <color rgb="FFFF0000"/>
        <rFont val="Calibri"/>
        <family val="2"/>
        <scheme val="minor"/>
      </rPr>
      <t>, which indicates a small right skew.</t>
    </r>
  </si>
  <si>
    <r>
      <t xml:space="preserve">Based on the spread of scores across departments, the </t>
    </r>
    <r>
      <rPr>
        <b/>
        <sz val="12"/>
        <color rgb="FFFF0000"/>
        <rFont val="Calibri"/>
        <family val="2"/>
        <scheme val="minor"/>
      </rPr>
      <t>IT department</t>
    </r>
    <r>
      <rPr>
        <sz val="12"/>
        <color rgb="FFFF0000"/>
        <rFont val="Calibri"/>
        <family val="2"/>
        <scheme val="minor"/>
      </rPr>
      <t xml:space="preserve"> shows the most consistent performance. </t>
    </r>
  </si>
  <si>
    <t>Quiz Average</t>
  </si>
  <si>
    <t>Midterm Exam</t>
  </si>
  <si>
    <t>Current Total</t>
  </si>
  <si>
    <t>Target Overall Grade</t>
  </si>
  <si>
    <t>Required Final Exam Score</t>
  </si>
  <si>
    <t>87% (B+)</t>
  </si>
  <si>
    <t>93% (A)</t>
  </si>
  <si>
    <t>~96</t>
  </si>
  <si>
    <t>~79</t>
  </si>
  <si>
    <t>~86</t>
  </si>
  <si>
    <t>~106</t>
  </si>
  <si>
    <t>1. What final exam score is needed for a B+ grade (87%)?</t>
  </si>
  <si>
    <t>2. Is it realistic to achieve an A grade (93%) given current performance?</t>
  </si>
  <si>
    <t>3. How sensitive is the final grade to the final exam performance?</t>
  </si>
  <si>
    <r>
      <t>Target 85%: Required Final Exam Score = </t>
    </r>
    <r>
      <rPr>
        <b/>
        <sz val="12"/>
        <color rgb="FFFF0000"/>
        <rFont val="Calibri"/>
        <family val="2"/>
        <scheme val="minor"/>
      </rPr>
      <t>79.17</t>
    </r>
  </si>
  <si>
    <r>
      <t>Target 90%: Required Final Exam Score = </t>
    </r>
    <r>
      <rPr>
        <b/>
        <sz val="12"/>
        <color rgb="FFFF0000"/>
        <rFont val="Calibri"/>
        <family val="2"/>
        <scheme val="minor"/>
      </rPr>
      <t>95.83</t>
    </r>
  </si>
  <si>
    <r>
      <t xml:space="preserve">To achieve a </t>
    </r>
    <r>
      <rPr>
        <b/>
        <sz val="12"/>
        <color rgb="FFFF0000"/>
        <rFont val="Calibri"/>
        <family val="2"/>
        <scheme val="minor"/>
      </rPr>
      <t>B+ grade (87%)</t>
    </r>
    <r>
      <rPr>
        <sz val="12"/>
        <color rgb="FFFF0000"/>
        <rFont val="Calibri"/>
        <family val="2"/>
        <scheme val="minor"/>
      </rPr>
      <t xml:space="preserve">, the student needs to score approximately </t>
    </r>
    <r>
      <rPr>
        <b/>
        <sz val="12"/>
        <color rgb="FFFF0000"/>
        <rFont val="Calibri"/>
        <family val="2"/>
        <scheme val="minor"/>
      </rPr>
      <t>86 marks</t>
    </r>
    <r>
      <rPr>
        <sz val="12"/>
        <color rgb="FFFF0000"/>
        <rFont val="Calibri"/>
        <family val="2"/>
        <scheme val="minor"/>
      </rPr>
      <t xml:space="preserve"> in the final exam, as shown by the Goal Seek results.</t>
    </r>
  </si>
  <si>
    <r>
      <t xml:space="preserve">To achieve an </t>
    </r>
    <r>
      <rPr>
        <b/>
        <sz val="12"/>
        <color rgb="FFFF0000"/>
        <rFont val="Calibri"/>
        <family val="2"/>
        <scheme val="minor"/>
      </rPr>
      <t>A grade (93%)</t>
    </r>
    <r>
      <rPr>
        <sz val="12"/>
        <color rgb="FFFF0000"/>
        <rFont val="Calibri"/>
        <family val="2"/>
        <scheme val="minor"/>
      </rPr>
      <t xml:space="preserve">, the required final exam score is approximately </t>
    </r>
    <r>
      <rPr>
        <b/>
        <sz val="12"/>
        <color rgb="FFFF0000"/>
        <rFont val="Calibri"/>
        <family val="2"/>
        <scheme val="minor"/>
      </rPr>
      <t>106 marks</t>
    </r>
    <r>
      <rPr>
        <sz val="12"/>
        <color rgb="FFFF0000"/>
        <rFont val="Calibri"/>
        <family val="2"/>
        <scheme val="minor"/>
      </rPr>
      <t>.</t>
    </r>
  </si>
  <si>
    <r>
      <t xml:space="preserve">Since this score is </t>
    </r>
    <r>
      <rPr>
        <b/>
        <sz val="12"/>
        <color rgb="FFFF0000"/>
        <rFont val="Calibri"/>
        <family val="2"/>
        <scheme val="minor"/>
      </rPr>
      <t>above the maximum possible score of 100</t>
    </r>
    <r>
      <rPr>
        <sz val="12"/>
        <color rgb="FFFF0000"/>
        <rFont val="Calibri"/>
        <family val="2"/>
        <scheme val="minor"/>
      </rPr>
      <t xml:space="preserve">, it is </t>
    </r>
    <r>
      <rPr>
        <b/>
        <sz val="12"/>
        <color rgb="FFFF0000"/>
        <rFont val="Calibri"/>
        <family val="2"/>
        <scheme val="minor"/>
      </rPr>
      <t>not realistic</t>
    </r>
    <r>
      <rPr>
        <sz val="12"/>
        <color rgb="FFFF0000"/>
        <rFont val="Calibri"/>
        <family val="2"/>
        <scheme val="minor"/>
      </rPr>
      <t xml:space="preserve"> to achieve an A grade given the current performance and weight structure.</t>
    </r>
  </si>
  <si>
    <r>
      <t xml:space="preserve">The final grade is </t>
    </r>
    <r>
      <rPr>
        <b/>
        <sz val="12"/>
        <color rgb="FFFF0000"/>
        <rFont val="Calibri"/>
        <family val="2"/>
        <scheme val="minor"/>
      </rPr>
      <t>highly sensitive</t>
    </r>
    <r>
      <rPr>
        <sz val="12"/>
        <color rgb="FFFF0000"/>
        <rFont val="Calibri"/>
        <family val="2"/>
        <scheme val="minor"/>
      </rPr>
      <t xml:space="preserve"> to the final exam score because the final exam carries a </t>
    </r>
    <r>
      <rPr>
        <b/>
        <sz val="12"/>
        <color rgb="FFFF0000"/>
        <rFont val="Calibri"/>
        <family val="2"/>
        <scheme val="minor"/>
      </rPr>
      <t>30% weight</t>
    </r>
    <r>
      <rPr>
        <sz val="12"/>
        <color rgb="FFFF0000"/>
        <rFont val="Calibri"/>
        <family val="2"/>
        <scheme val="minor"/>
      </rPr>
      <t>, the largest single component. Changes in the final exam score significantly affect the overall grade.</t>
    </r>
  </si>
  <si>
    <t>Value</t>
  </si>
  <si>
    <t>Venue Cost</t>
  </si>
  <si>
    <t>Catering Cost per Person</t>
  </si>
  <si>
    <t>Audio/Visual Cost</t>
  </si>
  <si>
    <t>Marketing Cost</t>
  </si>
  <si>
    <t>Expected Attendees</t>
  </si>
  <si>
    <t>Registration Fee per Person</t>
  </si>
  <si>
    <t>Variable Name</t>
  </si>
  <si>
    <t>Total Revenue</t>
  </si>
  <si>
    <t>Total Fixed Costs</t>
  </si>
  <si>
    <t>(Task 1)</t>
  </si>
  <si>
    <t>(Task 4)</t>
  </si>
  <si>
    <t>Total Costs</t>
  </si>
  <si>
    <t>Expected</t>
  </si>
  <si>
    <t>Created by Ritik kumar on 18-12-2025</t>
  </si>
  <si>
    <t>Conservative</t>
  </si>
  <si>
    <t>Optimistic</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</si>
  <si>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</si>
  <si>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</si>
  <si>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</si>
  <si>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</si>
  <si>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</si>
  <si>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</si>
  <si>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</si>
  <si>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Created by Ritik kumar on 18-12-2025
Modified by Ritik kumar on 18-12-2025</t>
  </si>
  <si>
    <t>Break-Even Attendees</t>
  </si>
  <si>
    <t>Total Profit</t>
  </si>
  <si>
    <t>Total Fixed Cost</t>
  </si>
  <si>
    <t>Summary Table</t>
  </si>
  <si>
    <t>Metric</t>
  </si>
  <si>
    <t>Expected Scenario</t>
  </si>
  <si>
    <t>Conservative Scenario</t>
  </si>
  <si>
    <t>Optimistic Scenario</t>
  </si>
  <si>
    <t>Profit Per Ticket</t>
  </si>
  <si>
    <t>Attendees Needed (Break-Even)</t>
  </si>
  <si>
    <t>Attendees Actual</t>
  </si>
  <si>
    <t>Status</t>
  </si>
  <si>
    <t>Break Even</t>
  </si>
  <si>
    <t>Loss</t>
  </si>
  <si>
    <t>Profit</t>
  </si>
  <si>
    <t>• Which scenario provides the best profit margin?</t>
  </si>
  <si>
    <t xml:space="preserve">    Reason:</t>
  </si>
  <si>
    <t xml:space="preserve"> Highest attendance (180 attendees)</t>
  </si>
  <si>
    <t xml:space="preserve"> Lowest fixed costs ($10,200)</t>
  </si>
  <si>
    <t xml:space="preserve"> Highest profit per ticket ($86.75)</t>
  </si>
  <si>
    <t>• What is the minimum number of attendees needed to break even?</t>
  </si>
  <si>
    <t>• How sensitive is profit to changes in attendance vs. costs?</t>
  </si>
  <si>
    <t xml:space="preserve">   The profit is highly sensitive to Cost changes.</t>
  </si>
  <si>
    <r>
      <rPr>
        <b/>
        <sz val="12"/>
        <color rgb="FFFF0000"/>
        <rFont val="Calibri"/>
        <family val="2"/>
        <scheme val="minor"/>
      </rPr>
      <t xml:space="preserve">    Optimistic Scenario</t>
    </r>
    <r>
      <rPr>
        <b/>
        <sz val="12"/>
        <color theme="1"/>
        <rFont val="Calibri"/>
        <family val="2"/>
        <scheme val="minor"/>
      </rPr>
      <t xml:space="preserve"> provides the best profit margin</t>
    </r>
  </si>
  <si>
    <r>
      <t xml:space="preserve">    This combination results in the </t>
    </r>
    <r>
      <rPr>
        <b/>
        <sz val="12"/>
        <color rgb="FFFF0000"/>
        <rFont val="Calibri"/>
        <family val="2"/>
        <scheme val="minor"/>
      </rPr>
      <t>highest overall profit</t>
    </r>
    <r>
      <rPr>
        <sz val="12"/>
        <color theme="1"/>
        <rFont val="Calibri"/>
        <family val="2"/>
        <scheme val="minor"/>
      </rPr>
      <t xml:space="preserve"> and the</t>
    </r>
    <r>
      <rPr>
        <sz val="12"/>
        <color rgb="FFFF0000"/>
        <rFont val="Calibri"/>
        <family val="2"/>
        <scheme val="minor"/>
      </rPr>
      <t xml:space="preserve"> </t>
    </r>
    <r>
      <rPr>
        <b/>
        <sz val="12"/>
        <color rgb="FFFF0000"/>
        <rFont val="Calibri"/>
        <family val="2"/>
        <scheme val="minor"/>
      </rPr>
      <t>lowest break-even point</t>
    </r>
    <r>
      <rPr>
        <sz val="12"/>
        <color theme="1"/>
        <rFont val="Calibri"/>
        <family val="2"/>
        <scheme val="minor"/>
      </rPr>
      <t>.</t>
    </r>
  </si>
  <si>
    <r>
      <rPr>
        <b/>
        <sz val="12"/>
        <color rgb="FFFF0000"/>
        <rFont val="Calibri"/>
        <family val="2"/>
        <scheme val="minor"/>
      </rPr>
      <t xml:space="preserve">    150 attendees</t>
    </r>
    <r>
      <rPr>
        <sz val="12"/>
        <color theme="1"/>
        <rFont val="Calibri"/>
        <family val="2"/>
        <scheme val="minor"/>
      </rPr>
      <t> (under the Expected Base Case plan)</t>
    </r>
  </si>
</sst>
</file>

<file path=xl/styles.xml><?xml version="1.0" encoding="utf-8"?>
<styleSheet xmlns="http://schemas.openxmlformats.org/spreadsheetml/2006/main">
  <numFmts count="2">
    <numFmt numFmtId="43" formatCode="_ * #,##0.00_ ;_ * \-#,##0.00_ ;_ * &quot;-&quot;??_ ;_ @_ "/>
    <numFmt numFmtId="175" formatCode="0.0"/>
  </numFmts>
  <fonts count="19">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2"/>
      <color theme="1"/>
      <name val="Calibri"/>
      <family val="2"/>
      <scheme val="minor"/>
    </font>
    <font>
      <b/>
      <u/>
      <sz val="12"/>
      <color theme="1"/>
      <name val="Calibri"/>
      <family val="2"/>
      <scheme val="minor"/>
    </font>
    <font>
      <b/>
      <sz val="11"/>
      <color theme="1"/>
      <name val="Arial"/>
      <family val="2"/>
    </font>
    <font>
      <b/>
      <sz val="11"/>
      <color rgb="FFFF0000"/>
      <name val="Calibri"/>
      <family val="2"/>
      <scheme val="minor"/>
    </font>
    <font>
      <sz val="12"/>
      <color theme="1"/>
      <name val="Calibri"/>
      <family val="2"/>
      <scheme val="minor"/>
    </font>
    <font>
      <b/>
      <sz val="12"/>
      <color rgb="FFFF0000"/>
      <name val="Calibri"/>
      <family val="2"/>
      <scheme val="minor"/>
    </font>
    <font>
      <sz val="12"/>
      <color rgb="FFFF0000"/>
      <name val="Calibri"/>
      <family val="2"/>
      <scheme val="minor"/>
    </font>
    <font>
      <i/>
      <sz val="12"/>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0"/>
      <color theme="1"/>
      <name val="Calibri"/>
      <family val="2"/>
      <scheme val="minor"/>
    </font>
    <font>
      <b/>
      <sz val="12"/>
      <color theme="1"/>
      <name val="Arial"/>
      <family val="2"/>
    </font>
  </fonts>
  <fills count="7">
    <fill>
      <patternFill patternType="none"/>
    </fill>
    <fill>
      <patternFill patternType="gray125"/>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63">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
    </xf>
    <xf numFmtId="0" fontId="2" fillId="0" borderId="3" xfId="0" applyFont="1" applyFill="1" applyBorder="1" applyAlignment="1">
      <alignment horizontal="centerContinuous"/>
    </xf>
    <xf numFmtId="0" fontId="1" fillId="0" borderId="0" xfId="0" applyFont="1"/>
    <xf numFmtId="0" fontId="4" fillId="0" borderId="0" xfId="0" applyFont="1"/>
    <xf numFmtId="0" fontId="4" fillId="0" borderId="1" xfId="0" applyFont="1" applyBorder="1" applyAlignment="1">
      <alignment horizontal="center"/>
    </xf>
    <xf numFmtId="0" fontId="5" fillId="0" borderId="0" xfId="0" applyFont="1"/>
    <xf numFmtId="0" fontId="8" fillId="0" borderId="0" xfId="0" applyFont="1"/>
    <xf numFmtId="0" fontId="4" fillId="0" borderId="0" xfId="0" applyFont="1" applyAlignment="1"/>
    <xf numFmtId="0" fontId="0" fillId="2" borderId="0" xfId="0" applyFill="1" applyBorder="1" applyAlignment="1"/>
    <xf numFmtId="0" fontId="7" fillId="0" borderId="0" xfId="0" applyFont="1"/>
    <xf numFmtId="0" fontId="8" fillId="0" borderId="1" xfId="0" applyFont="1" applyBorder="1"/>
    <xf numFmtId="0" fontId="9" fillId="0" borderId="0" xfId="0" applyFont="1"/>
    <xf numFmtId="0" fontId="8" fillId="0" borderId="1" xfId="0" applyFont="1" applyBorder="1" applyAlignment="1">
      <alignment horizontal="center"/>
    </xf>
    <xf numFmtId="43" fontId="8" fillId="0" borderId="0" xfId="1" applyFont="1"/>
    <xf numFmtId="0" fontId="6" fillId="0" borderId="0" xfId="0" applyFont="1"/>
    <xf numFmtId="0" fontId="9" fillId="0" borderId="0" xfId="0" applyFont="1" applyAlignment="1">
      <alignment wrapText="1"/>
    </xf>
    <xf numFmtId="0" fontId="10" fillId="0" borderId="0" xfId="0" applyFont="1"/>
    <xf numFmtId="0" fontId="9" fillId="0" borderId="0" xfId="0" applyFont="1" applyAlignment="1"/>
    <xf numFmtId="0" fontId="9" fillId="0" borderId="0" xfId="0" applyFont="1" applyAlignment="1">
      <alignment horizontal="left" indent="1"/>
    </xf>
    <xf numFmtId="0" fontId="4" fillId="0" borderId="1" xfId="0" applyFont="1" applyBorder="1"/>
    <xf numFmtId="0" fontId="8" fillId="0" borderId="0" xfId="0" applyFont="1" applyAlignment="1">
      <alignment horizontal="left" indent="1"/>
    </xf>
    <xf numFmtId="0" fontId="10" fillId="0" borderId="0" xfId="0" applyFont="1" applyAlignment="1"/>
    <xf numFmtId="0" fontId="9" fillId="0" borderId="0" xfId="0" applyFont="1" applyAlignment="1">
      <alignment horizontal="left"/>
    </xf>
    <xf numFmtId="0" fontId="11" fillId="0" borderId="3" xfId="0" applyFont="1" applyFill="1" applyBorder="1" applyAlignment="1">
      <alignment horizontal="centerContinuous"/>
    </xf>
    <xf numFmtId="0" fontId="8" fillId="0" borderId="0" xfId="0" applyFont="1" applyFill="1" applyBorder="1" applyAlignment="1"/>
    <xf numFmtId="0" fontId="8" fillId="0" borderId="2" xfId="0" applyFont="1" applyFill="1" applyBorder="1" applyAlignment="1"/>
    <xf numFmtId="0" fontId="4" fillId="0" borderId="1" xfId="0" applyFont="1" applyBorder="1" applyAlignment="1">
      <alignment vertical="center" wrapText="1"/>
    </xf>
    <xf numFmtId="0" fontId="8" fillId="0" borderId="1" xfId="0" applyFont="1" applyBorder="1" applyAlignment="1">
      <alignment wrapText="1"/>
    </xf>
    <xf numFmtId="0" fontId="4" fillId="0" borderId="0" xfId="0" applyFont="1" applyAlignment="1">
      <alignment horizontal="left" indent="1"/>
    </xf>
    <xf numFmtId="0" fontId="4" fillId="0" borderId="1" xfId="0" applyFont="1" applyBorder="1" applyAlignment="1">
      <alignment horizontal="center" vertical="center"/>
    </xf>
    <xf numFmtId="9" fontId="4" fillId="0" borderId="1" xfId="0" applyNumberFormat="1" applyFont="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wrapText="1"/>
    </xf>
    <xf numFmtId="9" fontId="4" fillId="0" borderId="1" xfId="0" applyNumberFormat="1" applyFont="1" applyBorder="1" applyAlignment="1">
      <alignment wrapText="1"/>
    </xf>
    <xf numFmtId="9" fontId="8" fillId="0" borderId="1" xfId="0" applyNumberFormat="1" applyFont="1" applyBorder="1" applyAlignment="1">
      <alignment wrapText="1"/>
    </xf>
    <xf numFmtId="0" fontId="8" fillId="0" borderId="1" xfId="0" applyFont="1" applyFill="1" applyBorder="1" applyAlignment="1">
      <alignment wrapText="1"/>
    </xf>
    <xf numFmtId="9" fontId="8" fillId="0" borderId="1" xfId="0" applyNumberFormat="1" applyFont="1" applyBorder="1"/>
    <xf numFmtId="3" fontId="0" fillId="0" borderId="0" xfId="0" applyNumberFormat="1" applyFill="1" applyBorder="1" applyAlignment="1"/>
    <xf numFmtId="0" fontId="12" fillId="3" borderId="5" xfId="0" applyFont="1" applyFill="1" applyBorder="1" applyAlignment="1">
      <alignment horizontal="left"/>
    </xf>
    <xf numFmtId="0" fontId="12" fillId="3" borderId="4" xfId="0" applyFont="1" applyFill="1" applyBorder="1" applyAlignment="1">
      <alignment horizontal="left"/>
    </xf>
    <xf numFmtId="0" fontId="0" fillId="0" borderId="6" xfId="0" applyFill="1" applyBorder="1" applyAlignment="1"/>
    <xf numFmtId="0" fontId="13" fillId="4" borderId="0" xfId="0" applyFont="1" applyFill="1" applyBorder="1" applyAlignment="1">
      <alignment horizontal="left"/>
    </xf>
    <xf numFmtId="0" fontId="14" fillId="4" borderId="6" xfId="0" applyFont="1" applyFill="1" applyBorder="1" applyAlignment="1">
      <alignment horizontal="left"/>
    </xf>
    <xf numFmtId="0" fontId="13" fillId="4" borderId="2" xfId="0" applyFont="1" applyFill="1" applyBorder="1" applyAlignment="1">
      <alignment horizontal="left"/>
    </xf>
    <xf numFmtId="0" fontId="15" fillId="3" borderId="4" xfId="0" applyFont="1" applyFill="1" applyBorder="1" applyAlignment="1">
      <alignment horizontal="right"/>
    </xf>
    <xf numFmtId="0" fontId="15" fillId="3" borderId="5" xfId="0" applyFont="1" applyFill="1" applyBorder="1" applyAlignment="1">
      <alignment horizontal="right"/>
    </xf>
    <xf numFmtId="3" fontId="0" fillId="5" borderId="0" xfId="0" applyNumberFormat="1" applyFill="1" applyBorder="1" applyAlignment="1"/>
    <xf numFmtId="0" fontId="0" fillId="5" borderId="0" xfId="0" applyFill="1" applyBorder="1" applyAlignment="1"/>
    <xf numFmtId="0" fontId="16" fillId="0" borderId="0" xfId="0" applyFont="1" applyFill="1" applyBorder="1" applyAlignment="1">
      <alignment vertical="top" wrapText="1"/>
    </xf>
    <xf numFmtId="0" fontId="5" fillId="0" borderId="0" xfId="0" applyFont="1" applyAlignment="1"/>
    <xf numFmtId="0" fontId="17" fillId="6" borderId="0" xfId="0" applyFont="1" applyFill="1"/>
    <xf numFmtId="0" fontId="1" fillId="6" borderId="1" xfId="0" applyFont="1" applyFill="1" applyBorder="1" applyAlignment="1">
      <alignment horizontal="center"/>
    </xf>
    <xf numFmtId="3" fontId="8" fillId="0" borderId="1" xfId="0" applyNumberFormat="1" applyFont="1" applyBorder="1" applyAlignment="1">
      <alignment horizontal="center"/>
    </xf>
    <xf numFmtId="0" fontId="18" fillId="0" borderId="1" xfId="0" applyFont="1" applyBorder="1"/>
    <xf numFmtId="3" fontId="8" fillId="0" borderId="1" xfId="0" applyNumberFormat="1" applyFont="1" applyBorder="1"/>
    <xf numFmtId="0" fontId="9" fillId="0" borderId="1" xfId="0" applyFont="1" applyBorder="1" applyAlignment="1">
      <alignment horizontal="center"/>
    </xf>
    <xf numFmtId="0" fontId="10" fillId="0" borderId="1" xfId="0" applyFont="1" applyBorder="1"/>
    <xf numFmtId="175" fontId="10" fillId="0" borderId="1" xfId="0" applyNumberFormat="1" applyFont="1" applyBorder="1"/>
  </cellXfs>
  <cellStyles count="2">
    <cellStyle name="Comma" xfId="1" builtinId="3"/>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9.0898064064984588E-2"/>
          <c:y val="7.2949981608593492E-2"/>
          <c:w val="0.73468286702257479"/>
          <c:h val="0.8450978010782072"/>
        </c:manualLayout>
      </c:layout>
      <c:lineChart>
        <c:grouping val="standard"/>
        <c:ser>
          <c:idx val="1"/>
          <c:order val="0"/>
          <c:tx>
            <c:strRef>
              <c:f>'Moving Average'!$B$1</c:f>
              <c:strCache>
                <c:ptCount val="1"/>
                <c:pt idx="0">
                  <c:v>Website Visits</c:v>
                </c:pt>
              </c:strCache>
            </c:strRef>
          </c:tx>
          <c:marker>
            <c:symbol val="none"/>
          </c:marker>
          <c:cat>
            <c:numRef>
              <c:f>'Moving Average'!$A$2:$A$31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'Moving Average'!$B$2:$B$31</c:f>
              <c:numCache>
                <c:formatCode>General</c:formatCode>
                <c:ptCount val="30"/>
                <c:pt idx="0">
                  <c:v>1129</c:v>
                </c:pt>
                <c:pt idx="1">
                  <c:v>1084</c:v>
                </c:pt>
                <c:pt idx="2">
                  <c:v>1106</c:v>
                </c:pt>
                <c:pt idx="3">
                  <c:v>1122</c:v>
                </c:pt>
                <c:pt idx="4">
                  <c:v>1068</c:v>
                </c:pt>
                <c:pt idx="5">
                  <c:v>1103</c:v>
                </c:pt>
                <c:pt idx="6">
                  <c:v>1191</c:v>
                </c:pt>
                <c:pt idx="7">
                  <c:v>1004</c:v>
                </c:pt>
                <c:pt idx="8">
                  <c:v>1100</c:v>
                </c:pt>
                <c:pt idx="9">
                  <c:v>949</c:v>
                </c:pt>
                <c:pt idx="10">
                  <c:v>1085</c:v>
                </c:pt>
                <c:pt idx="11">
                  <c:v>1119</c:v>
                </c:pt>
                <c:pt idx="12">
                  <c:v>1054</c:v>
                </c:pt>
                <c:pt idx="13">
                  <c:v>900</c:v>
                </c:pt>
                <c:pt idx="14">
                  <c:v>926</c:v>
                </c:pt>
                <c:pt idx="15">
                  <c:v>1008</c:v>
                </c:pt>
                <c:pt idx="16">
                  <c:v>916</c:v>
                </c:pt>
                <c:pt idx="17">
                  <c:v>1002</c:v>
                </c:pt>
                <c:pt idx="18">
                  <c:v>1191</c:v>
                </c:pt>
                <c:pt idx="19">
                  <c:v>987</c:v>
                </c:pt>
                <c:pt idx="20">
                  <c:v>1112</c:v>
                </c:pt>
                <c:pt idx="21">
                  <c:v>971</c:v>
                </c:pt>
                <c:pt idx="22">
                  <c:v>1192</c:v>
                </c:pt>
                <c:pt idx="23">
                  <c:v>1182</c:v>
                </c:pt>
                <c:pt idx="24">
                  <c:v>1094</c:v>
                </c:pt>
                <c:pt idx="25">
                  <c:v>1200</c:v>
                </c:pt>
                <c:pt idx="26">
                  <c:v>1173</c:v>
                </c:pt>
                <c:pt idx="27">
                  <c:v>1045</c:v>
                </c:pt>
                <c:pt idx="28">
                  <c:v>1185</c:v>
                </c:pt>
                <c:pt idx="29">
                  <c:v>1091</c:v>
                </c:pt>
              </c:numCache>
            </c:numRef>
          </c:val>
        </c:ser>
        <c:ser>
          <c:idx val="2"/>
          <c:order val="1"/>
          <c:tx>
            <c:strRef>
              <c:f>'Moving Average'!$C$1</c:f>
              <c:strCache>
                <c:ptCount val="1"/>
                <c:pt idx="0">
                  <c:v>3-Day MA</c:v>
                </c:pt>
              </c:strCache>
            </c:strRef>
          </c:tx>
          <c:marker>
            <c:symbol val="none"/>
          </c:marker>
          <c:cat>
            <c:numRef>
              <c:f>'Moving Average'!$A$2:$A$31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'Moving Average'!$C$2:$C$31</c:f>
              <c:numCache>
                <c:formatCode>General</c:formatCode>
                <c:ptCount val="30"/>
                <c:pt idx="0">
                  <c:v>#N/A</c:v>
                </c:pt>
                <c:pt idx="1">
                  <c:v>#N/A</c:v>
                </c:pt>
                <c:pt idx="2">
                  <c:v>1106.3333333333333</c:v>
                </c:pt>
                <c:pt idx="3">
                  <c:v>1104</c:v>
                </c:pt>
                <c:pt idx="4">
                  <c:v>1098.6666666666667</c:v>
                </c:pt>
                <c:pt idx="5">
                  <c:v>1097.6666666666667</c:v>
                </c:pt>
                <c:pt idx="6">
                  <c:v>1120.6666666666667</c:v>
                </c:pt>
                <c:pt idx="7">
                  <c:v>1099.3333333333333</c:v>
                </c:pt>
                <c:pt idx="8">
                  <c:v>1098.3333333333333</c:v>
                </c:pt>
                <c:pt idx="9">
                  <c:v>1017.6666666666666</c:v>
                </c:pt>
                <c:pt idx="10">
                  <c:v>1044.6666666666667</c:v>
                </c:pt>
                <c:pt idx="11">
                  <c:v>1051</c:v>
                </c:pt>
                <c:pt idx="12">
                  <c:v>1086</c:v>
                </c:pt>
                <c:pt idx="13">
                  <c:v>1024.3333333333333</c:v>
                </c:pt>
                <c:pt idx="14">
                  <c:v>960</c:v>
                </c:pt>
                <c:pt idx="15">
                  <c:v>944.66666666666663</c:v>
                </c:pt>
                <c:pt idx="16">
                  <c:v>950</c:v>
                </c:pt>
                <c:pt idx="17">
                  <c:v>975.33333333333337</c:v>
                </c:pt>
                <c:pt idx="18">
                  <c:v>1036.3333333333333</c:v>
                </c:pt>
                <c:pt idx="19">
                  <c:v>1060</c:v>
                </c:pt>
                <c:pt idx="20">
                  <c:v>1096.6666666666667</c:v>
                </c:pt>
                <c:pt idx="21">
                  <c:v>1023.3333333333334</c:v>
                </c:pt>
                <c:pt idx="22">
                  <c:v>1091.6666666666667</c:v>
                </c:pt>
                <c:pt idx="23">
                  <c:v>1115</c:v>
                </c:pt>
                <c:pt idx="24">
                  <c:v>1156</c:v>
                </c:pt>
                <c:pt idx="25">
                  <c:v>1158.6666666666667</c:v>
                </c:pt>
                <c:pt idx="26">
                  <c:v>1155.6666666666667</c:v>
                </c:pt>
                <c:pt idx="27">
                  <c:v>1139.3333333333333</c:v>
                </c:pt>
                <c:pt idx="28">
                  <c:v>1134.3333333333333</c:v>
                </c:pt>
                <c:pt idx="29">
                  <c:v>1107</c:v>
                </c:pt>
              </c:numCache>
            </c:numRef>
          </c:val>
        </c:ser>
        <c:ser>
          <c:idx val="3"/>
          <c:order val="2"/>
          <c:tx>
            <c:strRef>
              <c:f>'Moving Average'!$D$1</c:f>
              <c:strCache>
                <c:ptCount val="1"/>
                <c:pt idx="0">
                  <c:v>5-Day MA</c:v>
                </c:pt>
              </c:strCache>
            </c:strRef>
          </c:tx>
          <c:marker>
            <c:symbol val="none"/>
          </c:marker>
          <c:cat>
            <c:numRef>
              <c:f>'Moving Average'!$A$2:$A$31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'Moving Average'!$D$2:$D$31</c:f>
              <c:numCache>
                <c:formatCode>General</c:formatCode>
                <c:ptCount val="30"/>
                <c:pt idx="0">
                  <c:v>#N/A</c:v>
                </c:pt>
                <c:pt idx="1">
                  <c:v>#N/A</c:v>
                </c:pt>
                <c:pt idx="2">
                  <c:v>#N/A</c:v>
                </c:pt>
                <c:pt idx="3">
                  <c:v>#N/A</c:v>
                </c:pt>
                <c:pt idx="4">
                  <c:v>1101.8</c:v>
                </c:pt>
                <c:pt idx="5">
                  <c:v>1096.5999999999999</c:v>
                </c:pt>
                <c:pt idx="6">
                  <c:v>1118</c:v>
                </c:pt>
                <c:pt idx="7">
                  <c:v>1097.5999999999999</c:v>
                </c:pt>
                <c:pt idx="8">
                  <c:v>1093.2</c:v>
                </c:pt>
                <c:pt idx="9">
                  <c:v>1069.4000000000001</c:v>
                </c:pt>
                <c:pt idx="10">
                  <c:v>1065.8</c:v>
                </c:pt>
                <c:pt idx="11">
                  <c:v>1051.4000000000001</c:v>
                </c:pt>
                <c:pt idx="12">
                  <c:v>1061.4000000000001</c:v>
                </c:pt>
                <c:pt idx="13">
                  <c:v>1021.4</c:v>
                </c:pt>
                <c:pt idx="14">
                  <c:v>1016.8</c:v>
                </c:pt>
                <c:pt idx="15">
                  <c:v>1001.4</c:v>
                </c:pt>
                <c:pt idx="16">
                  <c:v>960.8</c:v>
                </c:pt>
                <c:pt idx="17">
                  <c:v>950.4</c:v>
                </c:pt>
                <c:pt idx="18">
                  <c:v>1008.6</c:v>
                </c:pt>
                <c:pt idx="19">
                  <c:v>1020.8</c:v>
                </c:pt>
                <c:pt idx="20">
                  <c:v>1041.5999999999999</c:v>
                </c:pt>
                <c:pt idx="21">
                  <c:v>1052.5999999999999</c:v>
                </c:pt>
                <c:pt idx="22">
                  <c:v>1090.5999999999999</c:v>
                </c:pt>
                <c:pt idx="23">
                  <c:v>1088.8</c:v>
                </c:pt>
                <c:pt idx="24">
                  <c:v>1110.2</c:v>
                </c:pt>
                <c:pt idx="25">
                  <c:v>1127.8</c:v>
                </c:pt>
                <c:pt idx="26">
                  <c:v>1168.2</c:v>
                </c:pt>
                <c:pt idx="27">
                  <c:v>1138.8</c:v>
                </c:pt>
                <c:pt idx="28">
                  <c:v>1139.4000000000001</c:v>
                </c:pt>
                <c:pt idx="29">
                  <c:v>1138.8</c:v>
                </c:pt>
              </c:numCache>
            </c:numRef>
          </c:val>
        </c:ser>
        <c:ser>
          <c:idx val="4"/>
          <c:order val="3"/>
          <c:tx>
            <c:strRef>
              <c:f>'Moving Average'!$E$1</c:f>
              <c:strCache>
                <c:ptCount val="1"/>
                <c:pt idx="0">
                  <c:v>7- Day MA</c:v>
                </c:pt>
              </c:strCache>
            </c:strRef>
          </c:tx>
          <c:marker>
            <c:symbol val="none"/>
          </c:marker>
          <c:cat>
            <c:numRef>
              <c:f>'Moving Average'!$A$2:$A$31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'Moving Average'!$E$2:$E$31</c:f>
              <c:numCache>
                <c:formatCode>General</c:formatCode>
                <c:ptCount val="30"/>
                <c:pt idx="0">
                  <c:v>#N/A</c:v>
                </c:pt>
                <c:pt idx="1">
                  <c:v>#N/A</c:v>
                </c:pt>
                <c:pt idx="2">
                  <c:v>#N/A</c:v>
                </c:pt>
                <c:pt idx="3">
                  <c:v>#N/A</c:v>
                </c:pt>
                <c:pt idx="4">
                  <c:v>#N/A</c:v>
                </c:pt>
                <c:pt idx="5">
                  <c:v>#N/A</c:v>
                </c:pt>
                <c:pt idx="6">
                  <c:v>1114.7142857142858</c:v>
                </c:pt>
                <c:pt idx="7">
                  <c:v>1096.8571428571429</c:v>
                </c:pt>
                <c:pt idx="8">
                  <c:v>1099.1428571428571</c:v>
                </c:pt>
                <c:pt idx="9">
                  <c:v>1076.7142857142858</c:v>
                </c:pt>
                <c:pt idx="10">
                  <c:v>1071.4285714285713</c:v>
                </c:pt>
                <c:pt idx="11">
                  <c:v>1078.7142857142858</c:v>
                </c:pt>
                <c:pt idx="12">
                  <c:v>1071.7142857142858</c:v>
                </c:pt>
                <c:pt idx="13">
                  <c:v>1030.1428571428571</c:v>
                </c:pt>
                <c:pt idx="14">
                  <c:v>1019</c:v>
                </c:pt>
                <c:pt idx="15">
                  <c:v>1005.8571428571429</c:v>
                </c:pt>
                <c:pt idx="16">
                  <c:v>1001.1428571428571</c:v>
                </c:pt>
                <c:pt idx="17">
                  <c:v>989.28571428571433</c:v>
                </c:pt>
                <c:pt idx="18">
                  <c:v>999.57142857142856</c:v>
                </c:pt>
                <c:pt idx="19">
                  <c:v>990</c:v>
                </c:pt>
                <c:pt idx="20">
                  <c:v>1020.2857142857143</c:v>
                </c:pt>
                <c:pt idx="21">
                  <c:v>1026.7142857142858</c:v>
                </c:pt>
                <c:pt idx="22">
                  <c:v>1053</c:v>
                </c:pt>
                <c:pt idx="23">
                  <c:v>1091</c:v>
                </c:pt>
                <c:pt idx="24">
                  <c:v>1104.1428571428571</c:v>
                </c:pt>
                <c:pt idx="25">
                  <c:v>1105.4285714285713</c:v>
                </c:pt>
                <c:pt idx="26">
                  <c:v>1132</c:v>
                </c:pt>
                <c:pt idx="27">
                  <c:v>1122.4285714285713</c:v>
                </c:pt>
                <c:pt idx="28">
                  <c:v>1153</c:v>
                </c:pt>
                <c:pt idx="29">
                  <c:v>1138.5714285714287</c:v>
                </c:pt>
              </c:numCache>
            </c:numRef>
          </c:val>
        </c:ser>
        <c:marker val="1"/>
        <c:axId val="98368128"/>
        <c:axId val="98255232"/>
      </c:lineChart>
      <c:catAx>
        <c:axId val="98368128"/>
        <c:scaling>
          <c:orientation val="minMax"/>
        </c:scaling>
        <c:axPos val="b"/>
        <c:numFmt formatCode="General" sourceLinked="1"/>
        <c:tickLblPos val="nextTo"/>
        <c:crossAx val="98255232"/>
        <c:crosses val="autoZero"/>
        <c:auto val="1"/>
        <c:lblAlgn val="ctr"/>
        <c:lblOffset val="100"/>
      </c:catAx>
      <c:valAx>
        <c:axId val="98255232"/>
        <c:scaling>
          <c:orientation val="minMax"/>
        </c:scaling>
        <c:axPos val="l"/>
        <c:majorGridlines/>
        <c:numFmt formatCode="General" sourceLinked="1"/>
        <c:tickLblPos val="nextTo"/>
        <c:crossAx val="98368128"/>
        <c:crosses val="autoZero"/>
        <c:crossBetween val="between"/>
      </c:valAx>
    </c:plotArea>
    <c:legend>
      <c:legendPos val="r"/>
      <c:layout/>
    </c:legend>
    <c:plotVisOnly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60960</xdr:colOff>
      <xdr:row>0</xdr:row>
      <xdr:rowOff>121920</xdr:rowOff>
    </xdr:from>
    <xdr:to>
      <xdr:col>19</xdr:col>
      <xdr:colOff>198120</xdr:colOff>
      <xdr:row>17</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AA20"/>
  <sheetViews>
    <sheetView workbookViewId="0">
      <selection activeCell="I25" sqref="I25"/>
    </sheetView>
  </sheetViews>
  <sheetFormatPr defaultRowHeight="14.4"/>
  <cols>
    <col min="1" max="1" width="15.33203125" bestFit="1" customWidth="1"/>
    <col min="2" max="2" width="18" bestFit="1" customWidth="1"/>
    <col min="3" max="3" width="14.33203125" bestFit="1" customWidth="1"/>
    <col min="4" max="4" width="13.21875" bestFit="1" customWidth="1"/>
    <col min="5" max="5" width="12.5546875" bestFit="1" customWidth="1"/>
    <col min="8" max="8" width="11.109375" bestFit="1" customWidth="1"/>
  </cols>
  <sheetData>
    <row r="1" spans="1:27" ht="19.8" customHeight="1">
      <c r="A1" s="9" t="s">
        <v>0</v>
      </c>
      <c r="B1" s="9" t="s">
        <v>1</v>
      </c>
      <c r="C1" s="9" t="s">
        <v>2</v>
      </c>
      <c r="D1" s="9" t="s">
        <v>3</v>
      </c>
      <c r="E1" s="9" t="s">
        <v>4</v>
      </c>
      <c r="F1" s="11"/>
      <c r="G1" s="8"/>
      <c r="H1" s="10" t="s">
        <v>60</v>
      </c>
      <c r="I1" s="8"/>
      <c r="J1" s="8"/>
      <c r="K1" s="8"/>
      <c r="L1" s="8"/>
      <c r="M1" s="8"/>
      <c r="N1" s="8"/>
      <c r="O1" s="8"/>
      <c r="P1" s="11"/>
      <c r="Q1" s="11"/>
      <c r="R1" s="11"/>
      <c r="S1" s="11"/>
      <c r="T1" s="11"/>
      <c r="U1" s="11"/>
      <c r="V1" s="11"/>
      <c r="W1" s="11"/>
      <c r="X1" s="11"/>
      <c r="Y1" s="11"/>
      <c r="Z1" s="11"/>
      <c r="AA1" s="11"/>
    </row>
    <row r="2" spans="1:27" ht="15.6">
      <c r="A2" s="17" t="s">
        <v>5</v>
      </c>
      <c r="B2" s="17">
        <v>5000</v>
      </c>
      <c r="C2" s="17">
        <v>45000</v>
      </c>
      <c r="D2" s="17">
        <v>32</v>
      </c>
      <c r="E2" s="17">
        <v>3</v>
      </c>
      <c r="F2" s="11"/>
      <c r="G2" s="8"/>
      <c r="H2" s="8"/>
      <c r="I2" s="8"/>
      <c r="J2" s="8"/>
      <c r="K2" s="8"/>
      <c r="L2" s="8"/>
      <c r="M2" s="8"/>
      <c r="N2" s="8"/>
      <c r="O2" s="8"/>
      <c r="P2" s="11"/>
      <c r="Q2" s="11"/>
      <c r="R2" s="11"/>
      <c r="S2" s="11"/>
      <c r="T2" s="11"/>
      <c r="U2" s="11"/>
      <c r="V2" s="11"/>
      <c r="W2" s="11"/>
      <c r="X2" s="11"/>
      <c r="Y2" s="11"/>
      <c r="Z2" s="11"/>
      <c r="AA2" s="11"/>
    </row>
    <row r="3" spans="1:27" ht="15.6">
      <c r="A3" s="17" t="s">
        <v>6</v>
      </c>
      <c r="B3" s="17">
        <v>6000</v>
      </c>
      <c r="C3" s="17">
        <v>52000</v>
      </c>
      <c r="D3" s="17">
        <v>35</v>
      </c>
      <c r="E3" s="17">
        <v>3</v>
      </c>
      <c r="F3" s="11"/>
      <c r="G3" s="8"/>
      <c r="H3" s="8" t="s">
        <v>61</v>
      </c>
      <c r="I3" s="8"/>
      <c r="J3" s="8"/>
      <c r="K3" s="8"/>
      <c r="L3" s="8"/>
      <c r="M3" s="8"/>
      <c r="N3" s="8"/>
      <c r="O3" s="8"/>
      <c r="P3" s="11"/>
      <c r="Q3" s="11"/>
      <c r="R3" s="11"/>
      <c r="S3" s="11"/>
      <c r="T3" s="11"/>
      <c r="U3" s="11"/>
      <c r="V3" s="11"/>
      <c r="W3" s="11"/>
      <c r="X3" s="11"/>
      <c r="Y3" s="11"/>
      <c r="Z3" s="11"/>
      <c r="AA3" s="11"/>
    </row>
    <row r="4" spans="1:27" ht="15.6">
      <c r="A4" s="17" t="s">
        <v>7</v>
      </c>
      <c r="B4" s="17">
        <v>7000</v>
      </c>
      <c r="C4" s="17">
        <v>58000</v>
      </c>
      <c r="D4" s="17">
        <v>48</v>
      </c>
      <c r="E4" s="17">
        <v>4</v>
      </c>
      <c r="F4" s="11"/>
      <c r="G4" s="8"/>
      <c r="H4" s="16" t="s">
        <v>97</v>
      </c>
      <c r="I4" s="16"/>
      <c r="J4" s="16"/>
      <c r="K4" s="16"/>
      <c r="L4" s="16"/>
      <c r="M4" s="16"/>
      <c r="N4" s="16"/>
      <c r="O4" s="16"/>
      <c r="P4" s="21"/>
      <c r="Q4" s="11"/>
      <c r="R4" s="11"/>
      <c r="S4" s="11"/>
      <c r="T4" s="11"/>
      <c r="U4" s="11"/>
      <c r="V4" s="11"/>
      <c r="W4" s="11"/>
      <c r="X4" s="11"/>
      <c r="Y4" s="11"/>
      <c r="Z4" s="11"/>
      <c r="AA4" s="11"/>
    </row>
    <row r="5" spans="1:27" ht="15.6">
      <c r="A5" s="17" t="s">
        <v>8</v>
      </c>
      <c r="B5" s="17">
        <v>8000</v>
      </c>
      <c r="C5" s="17">
        <v>65000</v>
      </c>
      <c r="D5" s="17">
        <v>62</v>
      </c>
      <c r="E5" s="17">
        <v>4</v>
      </c>
      <c r="F5" s="11"/>
      <c r="G5" s="8"/>
      <c r="H5" s="21" t="s">
        <v>98</v>
      </c>
      <c r="I5" s="16"/>
      <c r="J5" s="16"/>
      <c r="K5" s="16"/>
      <c r="L5" s="16"/>
      <c r="M5" s="8"/>
      <c r="N5" s="8"/>
      <c r="O5" s="8"/>
      <c r="P5" s="11"/>
      <c r="Q5" s="11"/>
      <c r="R5" s="11"/>
      <c r="S5" s="11"/>
      <c r="T5" s="11"/>
      <c r="U5" s="11"/>
      <c r="V5" s="11"/>
      <c r="W5" s="11"/>
      <c r="X5" s="11"/>
      <c r="Y5" s="11"/>
      <c r="Z5" s="11"/>
      <c r="AA5" s="11"/>
    </row>
    <row r="6" spans="1:27" ht="15.6">
      <c r="A6" s="17" t="s">
        <v>9</v>
      </c>
      <c r="B6" s="17">
        <v>9000</v>
      </c>
      <c r="C6" s="17">
        <v>72000</v>
      </c>
      <c r="D6" s="17">
        <v>75</v>
      </c>
      <c r="E6" s="17">
        <v>5</v>
      </c>
      <c r="F6" s="11"/>
      <c r="G6" s="8"/>
      <c r="H6" s="21" t="s">
        <v>95</v>
      </c>
      <c r="I6" s="8"/>
      <c r="J6" s="8"/>
      <c r="K6" s="8"/>
      <c r="L6" s="8"/>
      <c r="M6" s="8"/>
      <c r="N6" s="8"/>
      <c r="O6" s="8"/>
      <c r="P6" s="11"/>
      <c r="Q6" s="11"/>
      <c r="R6" s="11"/>
      <c r="S6" s="11"/>
      <c r="T6" s="11"/>
      <c r="U6" s="11"/>
      <c r="V6" s="11"/>
      <c r="W6" s="11"/>
      <c r="X6" s="11"/>
      <c r="Y6" s="11"/>
      <c r="Z6" s="11"/>
      <c r="AA6" s="11"/>
    </row>
    <row r="7" spans="1:27" ht="15.6">
      <c r="A7" s="17" t="s">
        <v>10</v>
      </c>
      <c r="B7" s="17">
        <v>10000</v>
      </c>
      <c r="C7" s="17">
        <v>80000</v>
      </c>
      <c r="D7" s="17">
        <v>82</v>
      </c>
      <c r="E7" s="17">
        <v>5</v>
      </c>
      <c r="F7" s="11"/>
      <c r="G7" s="8"/>
      <c r="H7" s="11"/>
      <c r="I7" s="8"/>
      <c r="J7" s="8"/>
      <c r="K7" s="8"/>
      <c r="L7" s="8"/>
      <c r="M7" s="8"/>
      <c r="N7" s="8"/>
      <c r="O7" s="8"/>
      <c r="P7" s="11"/>
      <c r="Q7" s="11"/>
      <c r="R7" s="11"/>
      <c r="S7" s="11"/>
      <c r="T7" s="11"/>
      <c r="U7" s="11"/>
      <c r="V7" s="11"/>
      <c r="W7" s="11"/>
      <c r="X7" s="11"/>
      <c r="Y7" s="11"/>
      <c r="Z7" s="11"/>
      <c r="AA7" s="11"/>
    </row>
    <row r="8" spans="1:27" ht="15.6">
      <c r="A8" s="17" t="s">
        <v>11</v>
      </c>
      <c r="B8" s="17">
        <v>11000</v>
      </c>
      <c r="C8" s="17">
        <v>85000</v>
      </c>
      <c r="D8" s="17">
        <v>88</v>
      </c>
      <c r="E8" s="17">
        <v>6</v>
      </c>
      <c r="F8" s="11"/>
      <c r="G8" s="8"/>
      <c r="H8" s="8" t="s">
        <v>62</v>
      </c>
      <c r="I8" s="8"/>
      <c r="J8" s="8"/>
      <c r="K8" s="8"/>
      <c r="L8" s="8"/>
      <c r="M8" s="8"/>
      <c r="N8" s="8"/>
      <c r="O8" s="8"/>
      <c r="P8" s="11"/>
      <c r="Q8" s="11"/>
      <c r="R8" s="11"/>
      <c r="S8" s="11"/>
      <c r="T8" s="11"/>
      <c r="U8" s="11"/>
      <c r="V8" s="11"/>
      <c r="W8" s="11"/>
      <c r="X8" s="11"/>
      <c r="Y8" s="11"/>
      <c r="Z8" s="11"/>
      <c r="AA8" s="11"/>
    </row>
    <row r="9" spans="1:27" ht="15.6">
      <c r="A9" s="17" t="s">
        <v>12</v>
      </c>
      <c r="B9" s="17">
        <v>10500</v>
      </c>
      <c r="C9" s="17">
        <v>83000</v>
      </c>
      <c r="D9" s="17">
        <v>86</v>
      </c>
      <c r="E9" s="17">
        <v>6</v>
      </c>
      <c r="F9" s="11"/>
      <c r="G9" s="8"/>
      <c r="H9" s="21" t="s">
        <v>99</v>
      </c>
      <c r="I9" s="8"/>
      <c r="J9" s="8"/>
      <c r="K9" s="8"/>
      <c r="L9" s="8"/>
      <c r="M9" s="8"/>
      <c r="N9" s="8"/>
      <c r="O9" s="8"/>
      <c r="P9" s="11"/>
      <c r="Q9" s="11"/>
      <c r="R9" s="11"/>
      <c r="S9" s="11"/>
      <c r="T9" s="11"/>
      <c r="U9" s="11"/>
      <c r="V9" s="11"/>
      <c r="W9" s="11"/>
      <c r="X9" s="11"/>
      <c r="Y9" s="11"/>
      <c r="Z9" s="11"/>
      <c r="AA9" s="11"/>
    </row>
    <row r="10" spans="1:27" ht="15.6">
      <c r="A10" s="17" t="s">
        <v>13</v>
      </c>
      <c r="B10" s="17">
        <v>9500</v>
      </c>
      <c r="C10" s="17">
        <v>75000</v>
      </c>
      <c r="D10" s="17">
        <v>78</v>
      </c>
      <c r="E10" s="17">
        <v>5</v>
      </c>
      <c r="F10" s="11"/>
      <c r="G10" s="8"/>
      <c r="H10" s="21" t="s">
        <v>96</v>
      </c>
      <c r="I10" s="8"/>
      <c r="J10" s="8"/>
      <c r="K10" s="8"/>
      <c r="L10" s="8"/>
      <c r="M10" s="8"/>
      <c r="N10" s="8"/>
      <c r="O10" s="8"/>
      <c r="P10" s="11"/>
      <c r="Q10" s="11"/>
      <c r="R10" s="11"/>
      <c r="S10" s="11"/>
      <c r="T10" s="11"/>
      <c r="U10" s="11"/>
      <c r="V10" s="11"/>
      <c r="W10" s="11"/>
      <c r="X10" s="11"/>
      <c r="Y10" s="11"/>
      <c r="Z10" s="11"/>
      <c r="AA10" s="11"/>
    </row>
    <row r="11" spans="1:27" ht="15.6">
      <c r="A11" s="17" t="s">
        <v>14</v>
      </c>
      <c r="B11" s="17">
        <v>8500</v>
      </c>
      <c r="C11" s="17">
        <v>68000</v>
      </c>
      <c r="D11" s="17">
        <v>65</v>
      </c>
      <c r="E11" s="17">
        <v>5</v>
      </c>
      <c r="F11" s="11"/>
      <c r="G11" s="8"/>
      <c r="H11" s="16"/>
      <c r="I11" s="8"/>
      <c r="J11" s="8"/>
      <c r="K11" s="8"/>
      <c r="L11" s="8"/>
      <c r="M11" s="8"/>
      <c r="N11" s="8"/>
      <c r="O11" s="8"/>
      <c r="P11" s="11"/>
      <c r="Q11" s="11"/>
      <c r="R11" s="11"/>
      <c r="S11" s="11"/>
      <c r="T11" s="11"/>
      <c r="U11" s="11"/>
      <c r="V11" s="11"/>
      <c r="W11" s="11"/>
      <c r="X11" s="11"/>
      <c r="Y11" s="11"/>
      <c r="Z11" s="11"/>
      <c r="AA11" s="11"/>
    </row>
    <row r="12" spans="1:27" ht="15.6">
      <c r="A12" s="17" t="s">
        <v>15</v>
      </c>
      <c r="B12" s="17">
        <v>7500</v>
      </c>
      <c r="C12" s="17">
        <v>60000</v>
      </c>
      <c r="D12" s="17">
        <v>50</v>
      </c>
      <c r="E12" s="17">
        <v>4</v>
      </c>
      <c r="F12" s="11"/>
      <c r="G12" s="8"/>
      <c r="H12" s="8" t="s">
        <v>63</v>
      </c>
      <c r="I12" s="8"/>
      <c r="J12" s="8"/>
      <c r="K12" s="8"/>
      <c r="L12" s="8"/>
      <c r="M12" s="8"/>
      <c r="N12" s="8"/>
      <c r="O12" s="8"/>
      <c r="P12" s="11"/>
      <c r="Q12" s="11"/>
      <c r="R12" s="11"/>
      <c r="S12" s="11"/>
      <c r="T12" s="11"/>
      <c r="U12" s="11"/>
      <c r="V12" s="11"/>
      <c r="W12" s="11"/>
      <c r="X12" s="11"/>
      <c r="Y12" s="11"/>
      <c r="Z12" s="11"/>
      <c r="AA12" s="11"/>
    </row>
    <row r="13" spans="1:27" ht="15.6">
      <c r="A13" s="17" t="s">
        <v>16</v>
      </c>
      <c r="B13" s="17">
        <v>12000</v>
      </c>
      <c r="C13" s="17">
        <v>90000</v>
      </c>
      <c r="D13" s="17">
        <v>30</v>
      </c>
      <c r="E13" s="17">
        <v>4</v>
      </c>
      <c r="F13" s="11"/>
      <c r="G13" s="8"/>
      <c r="H13" s="21" t="s">
        <v>100</v>
      </c>
      <c r="I13" s="8"/>
      <c r="J13" s="8"/>
      <c r="K13" s="8"/>
      <c r="L13" s="8"/>
      <c r="M13" s="8"/>
      <c r="N13" s="8"/>
      <c r="O13" s="8"/>
      <c r="P13" s="11"/>
      <c r="Q13" s="11"/>
      <c r="R13" s="11"/>
      <c r="S13" s="11"/>
      <c r="T13" s="11"/>
      <c r="U13" s="11"/>
      <c r="V13" s="11"/>
      <c r="W13" s="11"/>
      <c r="X13" s="11"/>
      <c r="Y13" s="11"/>
      <c r="Z13" s="11"/>
      <c r="AA13" s="11"/>
    </row>
    <row r="14" spans="1:27" ht="16.2" thickBot="1">
      <c r="G14" s="11"/>
      <c r="H14" s="11"/>
      <c r="I14" s="11"/>
      <c r="J14" s="11"/>
      <c r="K14" s="11"/>
      <c r="L14" s="11"/>
      <c r="M14" s="11"/>
      <c r="N14" s="11"/>
      <c r="O14" s="11"/>
      <c r="P14" s="11"/>
      <c r="Q14" s="11"/>
      <c r="R14" s="11"/>
      <c r="S14" s="11"/>
      <c r="T14" s="11"/>
      <c r="U14" s="11"/>
      <c r="V14" s="11"/>
      <c r="W14" s="11"/>
      <c r="X14" s="11"/>
      <c r="Y14" s="11"/>
      <c r="Z14" s="11"/>
      <c r="AA14" s="11"/>
    </row>
    <row r="15" spans="1:27" ht="15.6">
      <c r="A15" s="5"/>
      <c r="B15" s="5" t="s">
        <v>1</v>
      </c>
      <c r="C15" s="5" t="s">
        <v>2</v>
      </c>
      <c r="D15" s="5" t="s">
        <v>3</v>
      </c>
      <c r="E15" s="5" t="s">
        <v>4</v>
      </c>
      <c r="G15" s="11"/>
      <c r="H15" s="11"/>
      <c r="I15" s="11"/>
      <c r="J15" s="11"/>
      <c r="K15" s="11"/>
      <c r="L15" s="11"/>
      <c r="M15" s="11"/>
      <c r="N15" s="11"/>
      <c r="O15" s="11"/>
      <c r="P15" s="11"/>
      <c r="Q15" s="11"/>
      <c r="R15" s="11"/>
      <c r="S15" s="11"/>
      <c r="T15" s="11"/>
      <c r="U15" s="11"/>
      <c r="V15" s="11"/>
      <c r="W15" s="11"/>
      <c r="X15" s="11"/>
      <c r="Y15" s="11"/>
      <c r="Z15" s="11"/>
      <c r="AA15" s="11"/>
    </row>
    <row r="16" spans="1:27">
      <c r="A16" s="3" t="s">
        <v>1</v>
      </c>
      <c r="B16" s="3">
        <v>1</v>
      </c>
      <c r="C16" s="3"/>
      <c r="D16" s="3"/>
      <c r="E16" s="3"/>
    </row>
    <row r="17" spans="1:9">
      <c r="A17" s="3" t="s">
        <v>2</v>
      </c>
      <c r="B17" s="3">
        <v>0.99753780716379903</v>
      </c>
      <c r="C17" s="3">
        <v>1</v>
      </c>
      <c r="D17" s="3"/>
      <c r="E17" s="3"/>
    </row>
    <row r="18" spans="1:9">
      <c r="A18" s="3" t="s">
        <v>3</v>
      </c>
      <c r="B18" s="3">
        <v>0.53152561979376067</v>
      </c>
      <c r="C18" s="3">
        <v>0.57043465159041351</v>
      </c>
      <c r="D18" s="3">
        <v>1</v>
      </c>
      <c r="E18" s="3"/>
    </row>
    <row r="19" spans="1:9" ht="15" thickBot="1">
      <c r="A19" s="4" t="s">
        <v>4</v>
      </c>
      <c r="B19" s="4">
        <v>0.74241234945994949</v>
      </c>
      <c r="C19" s="4">
        <v>0.76567001994256989</v>
      </c>
      <c r="D19" s="4">
        <v>0.9129873912359896</v>
      </c>
      <c r="E19" s="4">
        <v>1</v>
      </c>
    </row>
    <row r="20" spans="1:9">
      <c r="I20" s="7"/>
    </row>
  </sheetData>
  <conditionalFormatting sqref="A15:E19">
    <cfRule type="colorScale" priority="1">
      <colorScale>
        <cfvo type="min" val="0"/>
        <cfvo type="percentile" val="50"/>
        <cfvo type="max" val="0"/>
        <color rgb="FFF8696B"/>
        <color rgb="FFFFEB84"/>
        <color rgb="FF63BE7B"/>
      </colorScale>
    </cfRule>
  </conditionalFormatting>
  <pageMargins left="0.75" right="0.75" top="1" bottom="1" header="0.5" footer="0.5"/>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dimension ref="A1:O31"/>
  <sheetViews>
    <sheetView tabSelected="1" workbookViewId="0">
      <selection activeCell="Q36" sqref="Q36"/>
    </sheetView>
  </sheetViews>
  <sheetFormatPr defaultRowHeight="14.4"/>
  <cols>
    <col min="1" max="1" width="16" bestFit="1" customWidth="1"/>
    <col min="2" max="2" width="19.44140625" bestFit="1" customWidth="1"/>
    <col min="3" max="3" width="14.5546875" bestFit="1" customWidth="1"/>
    <col min="4" max="4" width="21.88671875" bestFit="1" customWidth="1"/>
    <col min="6" max="6" width="17.44140625" bestFit="1" customWidth="1"/>
    <col min="7" max="7" width="12" bestFit="1" customWidth="1"/>
    <col min="8" max="8" width="13.44140625" bestFit="1" customWidth="1"/>
    <col min="9" max="10" width="12" bestFit="1" customWidth="1"/>
    <col min="11" max="11" width="12.44140625" bestFit="1" customWidth="1"/>
    <col min="12" max="12" width="12" bestFit="1" customWidth="1"/>
    <col min="13" max="14" width="12.109375" bestFit="1" customWidth="1"/>
  </cols>
  <sheetData>
    <row r="1" spans="1:14" ht="18.600000000000001" customHeight="1">
      <c r="A1" s="9" t="s">
        <v>64</v>
      </c>
      <c r="B1" s="9" t="s">
        <v>65</v>
      </c>
      <c r="C1" s="9" t="s">
        <v>17</v>
      </c>
      <c r="D1" s="9" t="s">
        <v>66</v>
      </c>
      <c r="F1" t="s">
        <v>36</v>
      </c>
    </row>
    <row r="2" spans="1:14" ht="15" thickBot="1">
      <c r="A2" s="2">
        <v>2.5</v>
      </c>
      <c r="B2" s="2">
        <v>15</v>
      </c>
      <c r="C2" s="2">
        <v>2</v>
      </c>
      <c r="D2" s="2">
        <v>9</v>
      </c>
    </row>
    <row r="3" spans="1:14">
      <c r="A3" s="2">
        <v>5.0999999999999996</v>
      </c>
      <c r="B3" s="2">
        <v>25</v>
      </c>
      <c r="C3" s="2">
        <v>4</v>
      </c>
      <c r="D3" s="2">
        <v>8</v>
      </c>
      <c r="F3" s="6" t="s">
        <v>37</v>
      </c>
      <c r="G3" s="6"/>
    </row>
    <row r="4" spans="1:14">
      <c r="A4" s="2">
        <v>1.2</v>
      </c>
      <c r="B4" s="2">
        <v>10</v>
      </c>
      <c r="C4" s="2">
        <v>1</v>
      </c>
      <c r="D4" s="2">
        <v>10</v>
      </c>
      <c r="F4" s="3" t="s">
        <v>38</v>
      </c>
      <c r="G4" s="3">
        <v>0.99537094922777758</v>
      </c>
    </row>
    <row r="5" spans="1:14">
      <c r="A5" s="2">
        <v>8.5</v>
      </c>
      <c r="B5" s="2">
        <v>40</v>
      </c>
      <c r="C5" s="2">
        <v>3</v>
      </c>
      <c r="D5" s="2">
        <v>6</v>
      </c>
      <c r="F5" s="3" t="s">
        <v>39</v>
      </c>
      <c r="G5" s="13">
        <v>0.99076332656660704</v>
      </c>
    </row>
    <row r="6" spans="1:14">
      <c r="A6" s="2">
        <v>3</v>
      </c>
      <c r="B6" s="2">
        <v>18</v>
      </c>
      <c r="C6" s="2">
        <v>2</v>
      </c>
      <c r="D6" s="2">
        <v>9</v>
      </c>
      <c r="F6" s="3" t="s">
        <v>40</v>
      </c>
      <c r="G6" s="3">
        <v>0.99025017804252968</v>
      </c>
    </row>
    <row r="7" spans="1:14">
      <c r="A7" s="2">
        <v>6.2</v>
      </c>
      <c r="B7" s="2">
        <v>30</v>
      </c>
      <c r="C7" s="2">
        <v>5</v>
      </c>
      <c r="D7" s="2">
        <v>7</v>
      </c>
      <c r="F7" s="3" t="s">
        <v>41</v>
      </c>
      <c r="G7" s="3">
        <v>1.1190107365229585</v>
      </c>
    </row>
    <row r="8" spans="1:14" ht="15" thickBot="1">
      <c r="A8" s="2">
        <v>4.5</v>
      </c>
      <c r="B8" s="2">
        <v>22</v>
      </c>
      <c r="C8" s="2">
        <v>2</v>
      </c>
      <c r="D8" s="2">
        <v>8</v>
      </c>
      <c r="F8" s="4" t="s">
        <v>42</v>
      </c>
      <c r="G8" s="4">
        <v>20</v>
      </c>
    </row>
    <row r="9" spans="1:14">
      <c r="A9" s="2">
        <v>7.8</v>
      </c>
      <c r="B9" s="2">
        <v>38</v>
      </c>
      <c r="C9" s="2">
        <v>4</v>
      </c>
      <c r="D9" s="2">
        <v>6</v>
      </c>
    </row>
    <row r="10" spans="1:14" ht="15" thickBot="1">
      <c r="A10" s="2">
        <v>9</v>
      </c>
      <c r="B10" s="2">
        <v>45</v>
      </c>
      <c r="C10" s="2">
        <v>6</v>
      </c>
      <c r="D10" s="2">
        <v>5</v>
      </c>
      <c r="F10" t="s">
        <v>43</v>
      </c>
    </row>
    <row r="11" spans="1:14">
      <c r="A11" s="2">
        <v>2.1</v>
      </c>
      <c r="B11" s="2">
        <v>14</v>
      </c>
      <c r="C11" s="2">
        <v>1</v>
      </c>
      <c r="D11" s="2">
        <v>10</v>
      </c>
      <c r="F11" s="5"/>
      <c r="G11" s="5" t="s">
        <v>48</v>
      </c>
      <c r="H11" s="5" t="s">
        <v>49</v>
      </c>
      <c r="I11" s="5" t="s">
        <v>50</v>
      </c>
      <c r="J11" s="5" t="s">
        <v>51</v>
      </c>
      <c r="K11" s="5" t="s">
        <v>52</v>
      </c>
    </row>
    <row r="12" spans="1:14">
      <c r="A12" s="2">
        <v>5.5</v>
      </c>
      <c r="B12" s="2">
        <v>28</v>
      </c>
      <c r="C12" s="2">
        <v>3</v>
      </c>
      <c r="D12" s="2">
        <v>7</v>
      </c>
      <c r="F12" s="3" t="s">
        <v>44</v>
      </c>
      <c r="G12" s="3">
        <v>1</v>
      </c>
      <c r="H12" s="3">
        <v>2417.6606694878342</v>
      </c>
      <c r="I12" s="3">
        <v>2417.6606694878342</v>
      </c>
      <c r="J12" s="3">
        <v>1930.753534462433</v>
      </c>
      <c r="K12" s="3">
        <v>9.1144012156411101E-20</v>
      </c>
    </row>
    <row r="13" spans="1:14">
      <c r="A13" s="2">
        <v>3.8</v>
      </c>
      <c r="B13" s="2">
        <v>20</v>
      </c>
      <c r="C13" s="2">
        <v>2</v>
      </c>
      <c r="D13" s="2">
        <v>9</v>
      </c>
      <c r="F13" s="3" t="s">
        <v>45</v>
      </c>
      <c r="G13" s="3">
        <v>18</v>
      </c>
      <c r="H13" s="3">
        <v>22.539330512165769</v>
      </c>
      <c r="I13" s="3">
        <v>1.2521850284536538</v>
      </c>
      <c r="J13" s="3"/>
      <c r="K13" s="3"/>
    </row>
    <row r="14" spans="1:14" ht="15" thickBot="1">
      <c r="A14" s="2">
        <v>6.5</v>
      </c>
      <c r="B14" s="2">
        <v>32</v>
      </c>
      <c r="C14" s="2">
        <v>4</v>
      </c>
      <c r="D14" s="2">
        <v>7</v>
      </c>
      <c r="F14" s="4" t="s">
        <v>46</v>
      </c>
      <c r="G14" s="4">
        <v>19</v>
      </c>
      <c r="H14" s="4">
        <v>2440.1999999999998</v>
      </c>
      <c r="I14" s="4"/>
      <c r="J14" s="4"/>
      <c r="K14" s="4"/>
    </row>
    <row r="15" spans="1:14" ht="15" thickBot="1">
      <c r="A15" s="2">
        <v>1.5</v>
      </c>
      <c r="B15" s="2">
        <v>12</v>
      </c>
      <c r="C15" s="2">
        <v>1</v>
      </c>
      <c r="D15" s="2">
        <v>10</v>
      </c>
    </row>
    <row r="16" spans="1:14">
      <c r="A16" s="2">
        <v>8</v>
      </c>
      <c r="B16" s="2">
        <v>39</v>
      </c>
      <c r="C16" s="2">
        <v>5</v>
      </c>
      <c r="D16" s="2">
        <v>6</v>
      </c>
      <c r="F16" s="5"/>
      <c r="G16" s="5" t="s">
        <v>53</v>
      </c>
      <c r="H16" s="5" t="s">
        <v>41</v>
      </c>
      <c r="I16" s="5" t="s">
        <v>54</v>
      </c>
      <c r="J16" s="5" t="s">
        <v>55</v>
      </c>
      <c r="K16" s="5" t="s">
        <v>56</v>
      </c>
      <c r="L16" s="5" t="s">
        <v>57</v>
      </c>
      <c r="M16" s="5" t="s">
        <v>58</v>
      </c>
      <c r="N16" s="5" t="s">
        <v>59</v>
      </c>
    </row>
    <row r="17" spans="1:15">
      <c r="A17" s="2">
        <v>4.2</v>
      </c>
      <c r="B17" s="2">
        <v>21</v>
      </c>
      <c r="C17" s="2">
        <v>2</v>
      </c>
      <c r="D17" s="2">
        <v>8</v>
      </c>
      <c r="F17" s="3" t="s">
        <v>47</v>
      </c>
      <c r="G17" s="3">
        <v>3.9084678982301817</v>
      </c>
      <c r="H17" s="3">
        <v>0.57589176548453225</v>
      </c>
      <c r="I17" s="3">
        <v>6.7868098355977597</v>
      </c>
      <c r="J17" s="3">
        <v>2.3436064401316742E-6</v>
      </c>
      <c r="K17" s="3">
        <v>2.6985641972768368</v>
      </c>
      <c r="L17" s="3">
        <v>5.1183715991835266</v>
      </c>
      <c r="M17" s="3">
        <v>2.6985641972768368</v>
      </c>
      <c r="N17" s="3">
        <v>5.1183715991835266</v>
      </c>
    </row>
    <row r="18" spans="1:15" ht="15" thickBot="1">
      <c r="A18" s="2">
        <v>7</v>
      </c>
      <c r="B18" s="2">
        <v>35</v>
      </c>
      <c r="C18" s="2">
        <v>3</v>
      </c>
      <c r="D18" s="2">
        <v>7</v>
      </c>
      <c r="F18" s="4" t="s">
        <v>67</v>
      </c>
      <c r="G18" s="4">
        <v>4.3956667505824143</v>
      </c>
      <c r="H18" s="4">
        <v>0.10003715692248075</v>
      </c>
      <c r="I18" s="4">
        <v>43.940340627519397</v>
      </c>
      <c r="J18" s="4">
        <v>9.1144012156411739E-20</v>
      </c>
      <c r="K18" s="4">
        <v>4.1854964830990342</v>
      </c>
      <c r="L18" s="4">
        <v>4.6058370180657944</v>
      </c>
      <c r="M18" s="4">
        <v>4.1854964830990342</v>
      </c>
      <c r="N18" s="4">
        <v>4.6058370180657944</v>
      </c>
    </row>
    <row r="19" spans="1:15">
      <c r="A19" s="2">
        <v>2.8</v>
      </c>
      <c r="B19" s="2">
        <v>16</v>
      </c>
      <c r="C19" s="2">
        <v>2</v>
      </c>
      <c r="D19" s="2">
        <v>9</v>
      </c>
    </row>
    <row r="20" spans="1:15">
      <c r="A20" s="2">
        <v>9.5</v>
      </c>
      <c r="B20" s="2">
        <v>48</v>
      </c>
      <c r="C20" s="2">
        <v>5</v>
      </c>
      <c r="D20" s="2">
        <v>5</v>
      </c>
    </row>
    <row r="21" spans="1:15" ht="15.6">
      <c r="A21" s="2">
        <v>5</v>
      </c>
      <c r="B21" s="2">
        <v>26</v>
      </c>
      <c r="C21" s="2">
        <v>3</v>
      </c>
      <c r="D21" s="2">
        <v>8</v>
      </c>
      <c r="F21" s="10" t="s">
        <v>60</v>
      </c>
    </row>
    <row r="23" spans="1:15" ht="15.6">
      <c r="E23" s="7"/>
      <c r="F23" s="8" t="s">
        <v>68</v>
      </c>
      <c r="G23" s="8"/>
      <c r="H23" s="8"/>
      <c r="I23" s="8"/>
      <c r="J23" s="8"/>
      <c r="K23" s="11"/>
      <c r="L23" s="11"/>
      <c r="M23" s="11"/>
      <c r="N23" s="11"/>
      <c r="O23" s="11"/>
    </row>
    <row r="24" spans="1:15" ht="15.6">
      <c r="E24" s="7"/>
      <c r="F24" s="21" t="s">
        <v>89</v>
      </c>
      <c r="G24" s="8"/>
      <c r="H24" s="8"/>
      <c r="I24" s="8"/>
      <c r="J24" s="8"/>
      <c r="K24" s="11"/>
      <c r="L24" s="11"/>
      <c r="M24" s="11"/>
      <c r="N24" s="11"/>
      <c r="O24" s="11"/>
    </row>
    <row r="25" spans="1:15" ht="15.6">
      <c r="E25" s="7"/>
      <c r="F25" s="21" t="s">
        <v>90</v>
      </c>
      <c r="G25" s="8"/>
      <c r="H25" s="8"/>
      <c r="I25" s="8"/>
      <c r="J25" s="8"/>
      <c r="K25" s="11"/>
      <c r="L25" s="11"/>
      <c r="M25" s="11"/>
      <c r="N25" s="11"/>
      <c r="O25" s="11"/>
    </row>
    <row r="26" spans="1:15" ht="15.6">
      <c r="E26" s="7"/>
      <c r="F26" s="21" t="s">
        <v>91</v>
      </c>
      <c r="G26" s="8"/>
      <c r="H26" s="8"/>
      <c r="I26" s="8"/>
      <c r="J26" s="8"/>
      <c r="K26" s="11"/>
      <c r="L26" s="11"/>
      <c r="M26" s="11"/>
      <c r="N26" s="11"/>
      <c r="O26" s="11"/>
    </row>
    <row r="27" spans="1:15" ht="15.6">
      <c r="E27" s="7"/>
      <c r="F27" s="8"/>
      <c r="G27" s="8"/>
      <c r="H27" s="8"/>
      <c r="I27" s="8"/>
      <c r="J27" s="8"/>
      <c r="K27" s="11"/>
      <c r="L27" s="11"/>
      <c r="M27" s="11"/>
      <c r="N27" s="11"/>
      <c r="O27" s="11"/>
    </row>
    <row r="28" spans="1:15" ht="15.6">
      <c r="F28" s="12" t="s">
        <v>69</v>
      </c>
      <c r="G28" s="20"/>
      <c r="H28" s="20"/>
      <c r="I28" s="20"/>
      <c r="J28" s="20"/>
      <c r="K28" s="11"/>
      <c r="L28" s="11"/>
      <c r="M28" s="11"/>
      <c r="N28" s="11"/>
      <c r="O28" s="11"/>
    </row>
    <row r="29" spans="1:15" ht="15.6">
      <c r="F29" s="21" t="s">
        <v>92</v>
      </c>
      <c r="G29" s="21"/>
      <c r="H29" s="21"/>
      <c r="I29" s="21"/>
      <c r="J29" s="21"/>
      <c r="K29" s="21"/>
      <c r="L29" s="21"/>
      <c r="M29" s="21"/>
      <c r="N29" s="11"/>
      <c r="O29" s="11"/>
    </row>
    <row r="30" spans="1:15" ht="15.6">
      <c r="F30" s="21" t="s">
        <v>93</v>
      </c>
      <c r="G30" s="21"/>
      <c r="H30" s="21"/>
      <c r="I30" s="21"/>
      <c r="J30" s="21"/>
      <c r="K30" s="21"/>
      <c r="L30" s="21"/>
      <c r="M30" s="21"/>
      <c r="N30" s="11"/>
      <c r="O30" s="11"/>
    </row>
    <row r="31" spans="1:15" ht="15.6">
      <c r="F31" s="21" t="s">
        <v>94</v>
      </c>
      <c r="G31" s="21"/>
      <c r="H31" s="21"/>
      <c r="I31" s="21"/>
      <c r="J31" s="21"/>
      <c r="K31" s="21"/>
      <c r="L31" s="21"/>
      <c r="M31" s="21"/>
      <c r="N31" s="11"/>
      <c r="O31" s="11"/>
    </row>
  </sheetData>
  <pageMargins left="0.75" right="0.75" top="1" bottom="1" header="0.5" footer="0.5"/>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dimension ref="A1:M28"/>
  <sheetViews>
    <sheetView workbookViewId="0">
      <selection activeCell="N10" sqref="N10"/>
    </sheetView>
  </sheetViews>
  <sheetFormatPr defaultRowHeight="14.4"/>
  <cols>
    <col min="1" max="1" width="6.77734375" bestFit="1" customWidth="1"/>
    <col min="2" max="2" width="15.44140625" bestFit="1" customWidth="1"/>
    <col min="3" max="3" width="15.33203125" bestFit="1" customWidth="1"/>
    <col min="4" max="4" width="15.21875" bestFit="1" customWidth="1"/>
    <col min="6" max="6" width="18.6640625" bestFit="1" customWidth="1"/>
    <col min="7" max="8" width="12" bestFit="1" customWidth="1"/>
    <col min="9" max="9" width="14.88671875" bestFit="1" customWidth="1"/>
  </cols>
  <sheetData>
    <row r="1" spans="1:13" ht="19.8" customHeight="1">
      <c r="A1" s="1" t="s">
        <v>0</v>
      </c>
      <c r="B1" s="1" t="s">
        <v>71</v>
      </c>
      <c r="C1" s="1" t="s">
        <v>72</v>
      </c>
      <c r="D1" s="1" t="s">
        <v>70</v>
      </c>
      <c r="E1" s="11"/>
      <c r="F1" s="11"/>
      <c r="G1" s="11"/>
      <c r="H1" s="11"/>
      <c r="I1" s="11"/>
      <c r="J1" s="11"/>
    </row>
    <row r="2" spans="1:13" ht="15.6">
      <c r="A2" s="17">
        <v>1</v>
      </c>
      <c r="B2" s="17">
        <v>2.1</v>
      </c>
      <c r="C2" s="17">
        <v>1.8</v>
      </c>
      <c r="D2" s="17">
        <v>2</v>
      </c>
      <c r="E2" s="11"/>
      <c r="F2" s="15"/>
      <c r="G2" s="15" t="s">
        <v>71</v>
      </c>
      <c r="H2" s="15" t="s">
        <v>72</v>
      </c>
      <c r="I2" s="15" t="s">
        <v>70</v>
      </c>
      <c r="J2" s="11"/>
    </row>
    <row r="3" spans="1:13" ht="15.6">
      <c r="A3" s="17">
        <v>2</v>
      </c>
      <c r="B3" s="17">
        <v>1.5</v>
      </c>
      <c r="C3" s="17">
        <v>1.2</v>
      </c>
      <c r="D3" s="17">
        <v>1.4</v>
      </c>
      <c r="E3" s="11"/>
      <c r="F3" s="15" t="s">
        <v>71</v>
      </c>
      <c r="G3" s="15">
        <f>VARP('Covariance Analysis'!$B$2:$B$25)</f>
        <v>0.27664930555555539</v>
      </c>
      <c r="H3" s="15"/>
      <c r="I3" s="15"/>
      <c r="J3" s="11"/>
    </row>
    <row r="4" spans="1:13" ht="15.6">
      <c r="A4" s="17">
        <v>3</v>
      </c>
      <c r="B4" s="17">
        <v>2.8</v>
      </c>
      <c r="C4" s="17">
        <v>2.2999999999999998</v>
      </c>
      <c r="D4" s="17">
        <v>2.6</v>
      </c>
      <c r="E4" s="11"/>
      <c r="F4" s="15" t="s">
        <v>72</v>
      </c>
      <c r="G4" s="15">
        <v>0.23954861111111106</v>
      </c>
      <c r="H4" s="15">
        <f>VARP('Covariance Analysis'!$C$2:$C$25)</f>
        <v>0.21076388888888983</v>
      </c>
      <c r="I4" s="15"/>
      <c r="J4" s="11"/>
    </row>
    <row r="5" spans="1:13" ht="15.6">
      <c r="A5" s="17">
        <v>4</v>
      </c>
      <c r="B5" s="17">
        <v>3</v>
      </c>
      <c r="C5" s="17">
        <v>2.5</v>
      </c>
      <c r="D5" s="17">
        <v>2.8</v>
      </c>
      <c r="E5" s="11"/>
      <c r="F5" s="15" t="s">
        <v>70</v>
      </c>
      <c r="G5" s="15">
        <v>0.25760416666666663</v>
      </c>
      <c r="H5" s="15">
        <v>0.22395833333333334</v>
      </c>
      <c r="I5" s="15">
        <f>VARP('Covariance Analysis'!$D$2:$D$25)</f>
        <v>0.24104166666666613</v>
      </c>
      <c r="J5" s="11"/>
    </row>
    <row r="6" spans="1:13" ht="15.6">
      <c r="A6" s="17">
        <v>5</v>
      </c>
      <c r="B6" s="17">
        <v>1.9</v>
      </c>
      <c r="C6" s="17">
        <v>1.6</v>
      </c>
      <c r="D6" s="17">
        <v>1.8</v>
      </c>
      <c r="E6" s="11"/>
      <c r="F6" s="11"/>
      <c r="G6" s="11"/>
      <c r="H6" s="11"/>
      <c r="I6" s="11"/>
      <c r="J6" s="11"/>
    </row>
    <row r="7" spans="1:13" ht="15.6">
      <c r="A7" s="17">
        <v>6</v>
      </c>
      <c r="B7" s="17">
        <v>2.4</v>
      </c>
      <c r="C7" s="17">
        <v>2</v>
      </c>
      <c r="D7" s="17">
        <v>2.2000000000000002</v>
      </c>
      <c r="E7" s="11"/>
      <c r="F7" s="10" t="s">
        <v>78</v>
      </c>
      <c r="G7" s="11"/>
      <c r="H7" s="11"/>
      <c r="I7" s="11"/>
      <c r="J7" s="11"/>
    </row>
    <row r="8" spans="1:13" ht="15.6">
      <c r="A8" s="17">
        <v>7</v>
      </c>
      <c r="B8" s="17">
        <v>2.7</v>
      </c>
      <c r="C8" s="17">
        <v>2.1</v>
      </c>
      <c r="D8" s="17">
        <v>2.5</v>
      </c>
      <c r="E8" s="11"/>
      <c r="H8" s="11"/>
      <c r="I8" s="11"/>
      <c r="J8" s="11"/>
    </row>
    <row r="9" spans="1:13" ht="15.6">
      <c r="A9" s="17">
        <v>8</v>
      </c>
      <c r="B9" s="17">
        <v>3.1</v>
      </c>
      <c r="C9" s="17">
        <v>2.6</v>
      </c>
      <c r="D9" s="17">
        <v>2.9</v>
      </c>
      <c r="E9" s="11"/>
      <c r="F9" s="8" t="s">
        <v>76</v>
      </c>
      <c r="G9" s="11"/>
      <c r="H9" s="11"/>
      <c r="I9" s="11"/>
      <c r="J9" s="11"/>
    </row>
    <row r="10" spans="1:13" ht="15.6">
      <c r="A10" s="17">
        <v>9</v>
      </c>
      <c r="B10" s="17">
        <v>1.6</v>
      </c>
      <c r="C10" s="17">
        <v>1.4</v>
      </c>
      <c r="D10" s="17">
        <v>1.5</v>
      </c>
      <c r="E10" s="11"/>
      <c r="H10" s="11"/>
      <c r="I10" s="11"/>
      <c r="J10" s="11"/>
    </row>
    <row r="11" spans="1:13" ht="15.6">
      <c r="A11" s="17">
        <v>10</v>
      </c>
      <c r="B11" s="17">
        <v>2</v>
      </c>
      <c r="C11" s="17">
        <v>1.7</v>
      </c>
      <c r="D11" s="17">
        <v>1.9</v>
      </c>
      <c r="E11" s="11"/>
      <c r="F11" s="10" t="s">
        <v>73</v>
      </c>
      <c r="G11" s="11"/>
      <c r="H11" s="11"/>
      <c r="I11" s="11"/>
      <c r="J11" s="11"/>
    </row>
    <row r="12" spans="1:13" ht="15.6">
      <c r="A12" s="17">
        <v>11</v>
      </c>
      <c r="B12" s="17">
        <v>2.9</v>
      </c>
      <c r="C12" s="17">
        <v>2.4</v>
      </c>
      <c r="D12" s="17">
        <v>2.7</v>
      </c>
      <c r="E12" s="11"/>
      <c r="F12" s="8" t="s">
        <v>74</v>
      </c>
      <c r="G12" s="16">
        <f>COVAR(B2:B25, D2:D25)</f>
        <v>0.25760416666666663</v>
      </c>
      <c r="H12" s="11"/>
      <c r="I12" s="11"/>
      <c r="J12" s="11"/>
      <c r="M12" t="s">
        <v>79</v>
      </c>
    </row>
    <row r="13" spans="1:13" ht="15.6">
      <c r="A13" s="17">
        <v>12</v>
      </c>
      <c r="B13" s="17">
        <v>3.2</v>
      </c>
      <c r="C13" s="17">
        <v>2.8</v>
      </c>
      <c r="D13" s="17">
        <v>3</v>
      </c>
      <c r="E13" s="11"/>
      <c r="F13" s="8" t="s">
        <v>75</v>
      </c>
      <c r="G13" s="16">
        <f>COVAR(C2:C25, D2:D25)</f>
        <v>0.22395833333333334</v>
      </c>
      <c r="H13" s="11"/>
      <c r="I13" s="11"/>
      <c r="J13" s="11"/>
    </row>
    <row r="14" spans="1:13" ht="15.6">
      <c r="A14" s="17">
        <v>13</v>
      </c>
      <c r="B14" s="17">
        <v>2.2000000000000002</v>
      </c>
      <c r="C14" s="17">
        <v>1.9</v>
      </c>
      <c r="D14" s="17">
        <v>2.1</v>
      </c>
      <c r="E14" s="11"/>
    </row>
    <row r="15" spans="1:13" ht="15.6">
      <c r="A15" s="17">
        <v>14</v>
      </c>
      <c r="B15" s="17">
        <v>1.8</v>
      </c>
      <c r="C15" s="17">
        <v>1.5</v>
      </c>
      <c r="D15" s="17">
        <v>1.7</v>
      </c>
      <c r="E15" s="11"/>
      <c r="F15" s="8" t="s">
        <v>77</v>
      </c>
      <c r="H15" s="11"/>
      <c r="I15" s="11"/>
      <c r="J15" s="11"/>
    </row>
    <row r="16" spans="1:13" ht="15.6">
      <c r="A16" s="17">
        <v>15</v>
      </c>
      <c r="B16" s="17">
        <v>2.5</v>
      </c>
      <c r="C16" s="17">
        <v>2.1</v>
      </c>
      <c r="D16" s="17">
        <v>2.4</v>
      </c>
      <c r="E16" s="11"/>
      <c r="H16" s="11"/>
      <c r="I16" s="11"/>
    </row>
    <row r="17" spans="1:13" ht="15.6">
      <c r="A17" s="17">
        <v>16</v>
      </c>
      <c r="B17" s="17">
        <v>3</v>
      </c>
      <c r="C17" s="17">
        <v>2.6</v>
      </c>
      <c r="D17" s="17">
        <v>2.9</v>
      </c>
      <c r="E17" s="11"/>
      <c r="F17" s="19" t="s">
        <v>81</v>
      </c>
      <c r="H17" s="11"/>
      <c r="I17" s="11"/>
    </row>
    <row r="18" spans="1:13" ht="15.6">
      <c r="A18" s="17">
        <v>17</v>
      </c>
      <c r="B18" s="17">
        <v>2.6</v>
      </c>
      <c r="C18" s="17">
        <v>2.2000000000000002</v>
      </c>
      <c r="D18" s="17">
        <v>2.5</v>
      </c>
      <c r="E18" s="11"/>
      <c r="F18" s="20"/>
      <c r="G18" s="16" t="s">
        <v>80</v>
      </c>
      <c r="H18" s="16"/>
      <c r="I18" s="16"/>
      <c r="J18" s="14"/>
      <c r="K18" s="14"/>
      <c r="L18" s="14"/>
      <c r="M18" s="14"/>
    </row>
    <row r="19" spans="1:13" ht="15.6">
      <c r="A19" s="17">
        <v>18</v>
      </c>
      <c r="B19" s="17">
        <v>1.7</v>
      </c>
      <c r="C19" s="17">
        <v>1.4</v>
      </c>
      <c r="D19" s="17">
        <v>1.6</v>
      </c>
      <c r="E19" s="11"/>
      <c r="F19" s="16" t="s">
        <v>83</v>
      </c>
      <c r="G19" s="11"/>
      <c r="H19" s="11"/>
      <c r="I19" s="11"/>
    </row>
    <row r="20" spans="1:13" ht="15.6">
      <c r="A20" s="17">
        <v>19</v>
      </c>
      <c r="B20" s="17">
        <v>2.2999999999999998</v>
      </c>
      <c r="C20" s="17">
        <v>1.9</v>
      </c>
      <c r="D20" s="17">
        <v>2.1</v>
      </c>
      <c r="E20" s="11"/>
      <c r="F20" s="11"/>
      <c r="G20" s="16" t="s">
        <v>82</v>
      </c>
      <c r="H20" s="11"/>
      <c r="I20" s="11"/>
    </row>
    <row r="21" spans="1:13" ht="15.6">
      <c r="A21" s="17">
        <v>20</v>
      </c>
      <c r="B21" s="17">
        <v>2.8</v>
      </c>
      <c r="C21" s="17">
        <v>2.4</v>
      </c>
      <c r="D21" s="17">
        <v>2.6</v>
      </c>
    </row>
    <row r="22" spans="1:13" ht="15.6">
      <c r="A22" s="17">
        <v>21</v>
      </c>
      <c r="B22" s="17">
        <v>3.3</v>
      </c>
      <c r="C22" s="17">
        <v>2.9</v>
      </c>
      <c r="D22" s="17">
        <v>3.1</v>
      </c>
      <c r="F22" s="8" t="s">
        <v>85</v>
      </c>
    </row>
    <row r="23" spans="1:13" ht="15.6">
      <c r="A23" s="17">
        <v>22</v>
      </c>
      <c r="B23" s="17">
        <v>2.1</v>
      </c>
      <c r="C23" s="17">
        <v>1.8</v>
      </c>
      <c r="D23" s="17">
        <v>2</v>
      </c>
      <c r="F23" s="8" t="s">
        <v>86</v>
      </c>
      <c r="G23" s="22"/>
      <c r="H23" s="22"/>
    </row>
    <row r="24" spans="1:13" ht="15.6">
      <c r="A24" s="17">
        <v>23</v>
      </c>
      <c r="B24" s="17">
        <v>1.9</v>
      </c>
      <c r="C24" s="17">
        <v>1.6</v>
      </c>
      <c r="D24" s="17">
        <v>1.8</v>
      </c>
      <c r="G24" s="16" t="s">
        <v>84</v>
      </c>
    </row>
    <row r="25" spans="1:13" ht="15.6">
      <c r="A25" s="17">
        <v>24</v>
      </c>
      <c r="B25" s="17">
        <v>2.7</v>
      </c>
      <c r="C25" s="17">
        <v>2.2999999999999998</v>
      </c>
      <c r="D25" s="17">
        <v>2.5</v>
      </c>
      <c r="F25" s="16" t="s">
        <v>87</v>
      </c>
    </row>
    <row r="26" spans="1:13" ht="15.6">
      <c r="A26" s="18"/>
      <c r="B26" s="18"/>
      <c r="C26" s="18"/>
      <c r="D26" s="18"/>
      <c r="G26" s="16" t="s">
        <v>88</v>
      </c>
    </row>
    <row r="27" spans="1:13" ht="15.6">
      <c r="A27" s="18"/>
      <c r="B27" s="18"/>
      <c r="C27" s="18"/>
      <c r="D27" s="18"/>
      <c r="G27" s="23"/>
    </row>
    <row r="28" spans="1:13" ht="15.6">
      <c r="A28" s="11"/>
      <c r="B28" s="11"/>
      <c r="C28" s="11"/>
      <c r="D28" s="11"/>
    </row>
  </sheetData>
  <pageMargins left="0.75" right="0.75" top="1" bottom="1" header="0.5" footer="0.5"/>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dimension ref="A1:G38"/>
  <sheetViews>
    <sheetView workbookViewId="0">
      <selection activeCell="F40" sqref="F40"/>
    </sheetView>
  </sheetViews>
  <sheetFormatPr defaultRowHeight="15.6"/>
  <cols>
    <col min="1" max="1" width="7.109375" style="11" customWidth="1"/>
    <col min="2" max="2" width="12.5546875" style="11" bestFit="1" customWidth="1"/>
    <col min="3" max="3" width="9" style="11" customWidth="1"/>
    <col min="4" max="4" width="9.33203125" style="11" bestFit="1" customWidth="1"/>
    <col min="5" max="5" width="9.77734375" style="11" bestFit="1" customWidth="1"/>
    <col min="6" max="16384" width="8.88671875" style="11"/>
  </cols>
  <sheetData>
    <row r="1" spans="1:5">
      <c r="A1" s="9" t="s">
        <v>18</v>
      </c>
      <c r="B1" s="9" t="s">
        <v>19</v>
      </c>
      <c r="C1" s="24" t="s">
        <v>101</v>
      </c>
      <c r="D1" s="24" t="s">
        <v>102</v>
      </c>
      <c r="E1" s="24" t="s">
        <v>103</v>
      </c>
    </row>
    <row r="2" spans="1:5">
      <c r="A2" s="17">
        <v>1</v>
      </c>
      <c r="B2" s="17">
        <v>1129</v>
      </c>
      <c r="C2" s="15" t="e">
        <v>#N/A</v>
      </c>
      <c r="D2" s="15" t="e">
        <v>#N/A</v>
      </c>
      <c r="E2" s="15" t="e">
        <v>#N/A</v>
      </c>
    </row>
    <row r="3" spans="1:5">
      <c r="A3" s="17">
        <v>2</v>
      </c>
      <c r="B3" s="17">
        <v>1084</v>
      </c>
      <c r="C3" s="15" t="e">
        <v>#N/A</v>
      </c>
      <c r="D3" s="15" t="e">
        <v>#N/A</v>
      </c>
      <c r="E3" s="15" t="e">
        <v>#N/A</v>
      </c>
    </row>
    <row r="4" spans="1:5">
      <c r="A4" s="17">
        <v>3</v>
      </c>
      <c r="B4" s="17">
        <v>1106</v>
      </c>
      <c r="C4" s="15">
        <f t="shared" ref="C4:C31" si="0">AVERAGE(B2:B4)</f>
        <v>1106.3333333333333</v>
      </c>
      <c r="D4" s="15" t="e">
        <v>#N/A</v>
      </c>
      <c r="E4" s="15" t="e">
        <v>#N/A</v>
      </c>
    </row>
    <row r="5" spans="1:5">
      <c r="A5" s="17">
        <v>4</v>
      </c>
      <c r="B5" s="17">
        <v>1122</v>
      </c>
      <c r="C5" s="15">
        <f t="shared" si="0"/>
        <v>1104</v>
      </c>
      <c r="D5" s="15" t="e">
        <v>#N/A</v>
      </c>
      <c r="E5" s="15" t="e">
        <v>#N/A</v>
      </c>
    </row>
    <row r="6" spans="1:5">
      <c r="A6" s="17">
        <v>5</v>
      </c>
      <c r="B6" s="17">
        <v>1068</v>
      </c>
      <c r="C6" s="15">
        <f t="shared" si="0"/>
        <v>1098.6666666666667</v>
      </c>
      <c r="D6" s="15">
        <f t="shared" ref="D6:D31" si="1">AVERAGE(B2:B6)</f>
        <v>1101.8</v>
      </c>
      <c r="E6" s="15" t="e">
        <v>#N/A</v>
      </c>
    </row>
    <row r="7" spans="1:5">
      <c r="A7" s="17">
        <v>6</v>
      </c>
      <c r="B7" s="17">
        <v>1103</v>
      </c>
      <c r="C7" s="15">
        <f t="shared" si="0"/>
        <v>1097.6666666666667</v>
      </c>
      <c r="D7" s="15">
        <f t="shared" si="1"/>
        <v>1096.5999999999999</v>
      </c>
      <c r="E7" s="15" t="e">
        <v>#N/A</v>
      </c>
    </row>
    <row r="8" spans="1:5">
      <c r="A8" s="17">
        <v>7</v>
      </c>
      <c r="B8" s="17">
        <v>1191</v>
      </c>
      <c r="C8" s="15">
        <f t="shared" si="0"/>
        <v>1120.6666666666667</v>
      </c>
      <c r="D8" s="15">
        <f t="shared" si="1"/>
        <v>1118</v>
      </c>
      <c r="E8" s="15">
        <f t="shared" ref="E8:E31" si="2">AVERAGE(B2:B8)</f>
        <v>1114.7142857142858</v>
      </c>
    </row>
    <row r="9" spans="1:5">
      <c r="A9" s="17">
        <v>8</v>
      </c>
      <c r="B9" s="17">
        <v>1004</v>
      </c>
      <c r="C9" s="15">
        <f t="shared" si="0"/>
        <v>1099.3333333333333</v>
      </c>
      <c r="D9" s="15">
        <f t="shared" si="1"/>
        <v>1097.5999999999999</v>
      </c>
      <c r="E9" s="15">
        <f t="shared" si="2"/>
        <v>1096.8571428571429</v>
      </c>
    </row>
    <row r="10" spans="1:5">
      <c r="A10" s="17">
        <v>9</v>
      </c>
      <c r="B10" s="17">
        <v>1100</v>
      </c>
      <c r="C10" s="15">
        <f t="shared" si="0"/>
        <v>1098.3333333333333</v>
      </c>
      <c r="D10" s="15">
        <f t="shared" si="1"/>
        <v>1093.2</v>
      </c>
      <c r="E10" s="15">
        <f t="shared" si="2"/>
        <v>1099.1428571428571</v>
      </c>
    </row>
    <row r="11" spans="1:5">
      <c r="A11" s="17">
        <v>10</v>
      </c>
      <c r="B11" s="17">
        <v>949</v>
      </c>
      <c r="C11" s="15">
        <f t="shared" si="0"/>
        <v>1017.6666666666666</v>
      </c>
      <c r="D11" s="15">
        <f t="shared" si="1"/>
        <v>1069.4000000000001</v>
      </c>
      <c r="E11" s="15">
        <f t="shared" si="2"/>
        <v>1076.7142857142858</v>
      </c>
    </row>
    <row r="12" spans="1:5">
      <c r="A12" s="17">
        <v>11</v>
      </c>
      <c r="B12" s="17">
        <v>1085</v>
      </c>
      <c r="C12" s="15">
        <f t="shared" si="0"/>
        <v>1044.6666666666667</v>
      </c>
      <c r="D12" s="15">
        <f t="shared" si="1"/>
        <v>1065.8</v>
      </c>
      <c r="E12" s="15">
        <f t="shared" si="2"/>
        <v>1071.4285714285713</v>
      </c>
    </row>
    <row r="13" spans="1:5">
      <c r="A13" s="17">
        <v>12</v>
      </c>
      <c r="B13" s="17">
        <v>1119</v>
      </c>
      <c r="C13" s="15">
        <f t="shared" si="0"/>
        <v>1051</v>
      </c>
      <c r="D13" s="15">
        <f t="shared" si="1"/>
        <v>1051.4000000000001</v>
      </c>
      <c r="E13" s="15">
        <f t="shared" si="2"/>
        <v>1078.7142857142858</v>
      </c>
    </row>
    <row r="14" spans="1:5">
      <c r="A14" s="17">
        <v>13</v>
      </c>
      <c r="B14" s="17">
        <v>1054</v>
      </c>
      <c r="C14" s="15">
        <f t="shared" si="0"/>
        <v>1086</v>
      </c>
      <c r="D14" s="15">
        <f t="shared" si="1"/>
        <v>1061.4000000000001</v>
      </c>
      <c r="E14" s="15">
        <f t="shared" si="2"/>
        <v>1071.7142857142858</v>
      </c>
    </row>
    <row r="15" spans="1:5">
      <c r="A15" s="17">
        <v>14</v>
      </c>
      <c r="B15" s="17">
        <v>900</v>
      </c>
      <c r="C15" s="15">
        <f t="shared" si="0"/>
        <v>1024.3333333333333</v>
      </c>
      <c r="D15" s="15">
        <f t="shared" si="1"/>
        <v>1021.4</v>
      </c>
      <c r="E15" s="15">
        <f t="shared" si="2"/>
        <v>1030.1428571428571</v>
      </c>
    </row>
    <row r="16" spans="1:5">
      <c r="A16" s="17">
        <v>15</v>
      </c>
      <c r="B16" s="17">
        <v>926</v>
      </c>
      <c r="C16" s="15">
        <f t="shared" si="0"/>
        <v>960</v>
      </c>
      <c r="D16" s="15">
        <f t="shared" si="1"/>
        <v>1016.8</v>
      </c>
      <c r="E16" s="15">
        <f t="shared" si="2"/>
        <v>1019</v>
      </c>
    </row>
    <row r="17" spans="1:7">
      <c r="A17" s="17">
        <v>16</v>
      </c>
      <c r="B17" s="17">
        <v>1008</v>
      </c>
      <c r="C17" s="15">
        <f t="shared" si="0"/>
        <v>944.66666666666663</v>
      </c>
      <c r="D17" s="15">
        <f t="shared" si="1"/>
        <v>1001.4</v>
      </c>
      <c r="E17" s="15">
        <f t="shared" si="2"/>
        <v>1005.8571428571429</v>
      </c>
    </row>
    <row r="18" spans="1:7">
      <c r="A18" s="17">
        <v>17</v>
      </c>
      <c r="B18" s="17">
        <v>916</v>
      </c>
      <c r="C18" s="15">
        <f t="shared" si="0"/>
        <v>950</v>
      </c>
      <c r="D18" s="15">
        <f t="shared" si="1"/>
        <v>960.8</v>
      </c>
      <c r="E18" s="15">
        <f t="shared" si="2"/>
        <v>1001.1428571428571</v>
      </c>
    </row>
    <row r="19" spans="1:7">
      <c r="A19" s="17">
        <v>18</v>
      </c>
      <c r="B19" s="17">
        <v>1002</v>
      </c>
      <c r="C19" s="15">
        <f t="shared" si="0"/>
        <v>975.33333333333337</v>
      </c>
      <c r="D19" s="15">
        <f t="shared" si="1"/>
        <v>950.4</v>
      </c>
      <c r="E19" s="15">
        <f t="shared" si="2"/>
        <v>989.28571428571433</v>
      </c>
      <c r="F19" s="10" t="s">
        <v>104</v>
      </c>
    </row>
    <row r="20" spans="1:7">
      <c r="A20" s="17">
        <v>19</v>
      </c>
      <c r="B20" s="17">
        <v>1191</v>
      </c>
      <c r="C20" s="15">
        <f t="shared" si="0"/>
        <v>1036.3333333333333</v>
      </c>
      <c r="D20" s="15">
        <f t="shared" si="1"/>
        <v>1008.6</v>
      </c>
      <c r="E20" s="15">
        <f t="shared" si="2"/>
        <v>999.57142857142856</v>
      </c>
      <c r="F20" s="25"/>
    </row>
    <row r="21" spans="1:7">
      <c r="A21" s="17">
        <v>20</v>
      </c>
      <c r="B21" s="17">
        <v>987</v>
      </c>
      <c r="C21" s="15">
        <f t="shared" si="0"/>
        <v>1060</v>
      </c>
      <c r="D21" s="15">
        <f t="shared" si="1"/>
        <v>1020.8</v>
      </c>
      <c r="E21" s="15">
        <f t="shared" si="2"/>
        <v>990</v>
      </c>
      <c r="F21" s="25" t="s">
        <v>108</v>
      </c>
    </row>
    <row r="22" spans="1:7">
      <c r="A22" s="17">
        <v>21</v>
      </c>
      <c r="B22" s="17">
        <v>1112</v>
      </c>
      <c r="C22" s="15">
        <f t="shared" si="0"/>
        <v>1096.6666666666667</v>
      </c>
      <c r="D22" s="15">
        <f t="shared" si="1"/>
        <v>1041.5999999999999</v>
      </c>
      <c r="E22" s="15">
        <f t="shared" si="2"/>
        <v>1020.2857142857143</v>
      </c>
      <c r="F22" s="25" t="s">
        <v>109</v>
      </c>
    </row>
    <row r="23" spans="1:7">
      <c r="A23" s="17">
        <v>22</v>
      </c>
      <c r="B23" s="17">
        <v>971</v>
      </c>
      <c r="C23" s="15">
        <f t="shared" si="0"/>
        <v>1023.3333333333334</v>
      </c>
      <c r="D23" s="15">
        <f t="shared" si="1"/>
        <v>1052.5999999999999</v>
      </c>
      <c r="E23" s="15">
        <f t="shared" si="2"/>
        <v>1026.7142857142858</v>
      </c>
      <c r="F23" s="25" t="s">
        <v>110</v>
      </c>
    </row>
    <row r="24" spans="1:7">
      <c r="A24" s="17">
        <v>23</v>
      </c>
      <c r="B24" s="17">
        <v>1192</v>
      </c>
      <c r="C24" s="15">
        <f t="shared" si="0"/>
        <v>1091.6666666666667</v>
      </c>
      <c r="D24" s="15">
        <f t="shared" si="1"/>
        <v>1090.5999999999999</v>
      </c>
      <c r="E24" s="15">
        <f t="shared" si="2"/>
        <v>1053</v>
      </c>
      <c r="F24" s="25" t="s">
        <v>111</v>
      </c>
    </row>
    <row r="25" spans="1:7">
      <c r="A25" s="17">
        <v>24</v>
      </c>
      <c r="B25" s="17">
        <v>1182</v>
      </c>
      <c r="C25" s="15">
        <f t="shared" si="0"/>
        <v>1115</v>
      </c>
      <c r="D25" s="15">
        <f t="shared" si="1"/>
        <v>1088.8</v>
      </c>
      <c r="E25" s="15">
        <f t="shared" si="2"/>
        <v>1091</v>
      </c>
      <c r="F25" s="25" t="s">
        <v>112</v>
      </c>
    </row>
    <row r="26" spans="1:7">
      <c r="A26" s="17">
        <v>25</v>
      </c>
      <c r="B26" s="17">
        <v>1094</v>
      </c>
      <c r="C26" s="15">
        <f t="shared" si="0"/>
        <v>1156</v>
      </c>
      <c r="D26" s="15">
        <f t="shared" si="1"/>
        <v>1110.2</v>
      </c>
      <c r="E26" s="15">
        <f t="shared" si="2"/>
        <v>1104.1428571428571</v>
      </c>
      <c r="F26" s="25" t="s">
        <v>113</v>
      </c>
    </row>
    <row r="27" spans="1:7">
      <c r="A27" s="17">
        <v>26</v>
      </c>
      <c r="B27" s="17">
        <v>1200</v>
      </c>
      <c r="C27" s="15">
        <f t="shared" si="0"/>
        <v>1158.6666666666667</v>
      </c>
      <c r="D27" s="15">
        <f t="shared" si="1"/>
        <v>1127.8</v>
      </c>
      <c r="E27" s="15">
        <f t="shared" si="2"/>
        <v>1105.4285714285713</v>
      </c>
    </row>
    <row r="28" spans="1:7">
      <c r="A28" s="17">
        <v>27</v>
      </c>
      <c r="B28" s="17">
        <v>1173</v>
      </c>
      <c r="C28" s="15">
        <f t="shared" si="0"/>
        <v>1155.6666666666667</v>
      </c>
      <c r="D28" s="15">
        <f t="shared" si="1"/>
        <v>1168.2</v>
      </c>
      <c r="E28" s="15">
        <f t="shared" si="2"/>
        <v>1132</v>
      </c>
      <c r="F28" s="8" t="s">
        <v>106</v>
      </c>
    </row>
    <row r="29" spans="1:7">
      <c r="A29" s="17">
        <v>28</v>
      </c>
      <c r="B29" s="17">
        <v>1045</v>
      </c>
      <c r="C29" s="15">
        <f t="shared" si="0"/>
        <v>1139.3333333333333</v>
      </c>
      <c r="D29" s="15">
        <f t="shared" si="1"/>
        <v>1138.8</v>
      </c>
      <c r="E29" s="15">
        <f t="shared" si="2"/>
        <v>1122.4285714285713</v>
      </c>
      <c r="G29" s="8" t="s">
        <v>105</v>
      </c>
    </row>
    <row r="30" spans="1:7">
      <c r="A30" s="17">
        <v>29</v>
      </c>
      <c r="B30" s="17">
        <v>1185</v>
      </c>
      <c r="C30" s="15">
        <f t="shared" si="0"/>
        <v>1134.3333333333333</v>
      </c>
      <c r="D30" s="15">
        <f t="shared" si="1"/>
        <v>1139.4000000000001</v>
      </c>
      <c r="E30" s="15">
        <f t="shared" si="2"/>
        <v>1153</v>
      </c>
      <c r="G30" s="26" t="s">
        <v>114</v>
      </c>
    </row>
    <row r="31" spans="1:7">
      <c r="A31" s="17">
        <v>30</v>
      </c>
      <c r="B31" s="17">
        <v>1091</v>
      </c>
      <c r="C31" s="15">
        <f t="shared" si="0"/>
        <v>1107</v>
      </c>
      <c r="D31" s="15">
        <f t="shared" si="1"/>
        <v>1138.8</v>
      </c>
      <c r="E31" s="15">
        <f t="shared" si="2"/>
        <v>1138.5714285714287</v>
      </c>
      <c r="G31" s="27" t="s">
        <v>115</v>
      </c>
    </row>
    <row r="33" spans="7:7">
      <c r="G33" s="8" t="s">
        <v>116</v>
      </c>
    </row>
    <row r="34" spans="7:7">
      <c r="G34" s="26" t="s">
        <v>117</v>
      </c>
    </row>
    <row r="35" spans="7:7">
      <c r="G35" s="23" t="s">
        <v>118</v>
      </c>
    </row>
    <row r="37" spans="7:7">
      <c r="G37" s="8" t="s">
        <v>107</v>
      </c>
    </row>
    <row r="38" spans="7:7">
      <c r="G38" s="21" t="s">
        <v>119</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dimension ref="A1:J39"/>
  <sheetViews>
    <sheetView topLeftCell="A3" workbookViewId="0">
      <selection activeCell="I31" sqref="I31"/>
    </sheetView>
  </sheetViews>
  <sheetFormatPr defaultRowHeight="15.6"/>
  <cols>
    <col min="1" max="1" width="9.33203125" style="11" bestFit="1" customWidth="1"/>
    <col min="2" max="2" width="5.6640625" style="11" bestFit="1" customWidth="1"/>
    <col min="3" max="3" width="14.44140625" style="11" bestFit="1" customWidth="1"/>
    <col min="4" max="4" width="13.21875" style="11" bestFit="1" customWidth="1"/>
    <col min="5" max="5" width="11.109375" style="11" bestFit="1" customWidth="1"/>
    <col min="6" max="6" width="8.88671875" style="11"/>
    <col min="7" max="7" width="16.5546875" style="11" bestFit="1" customWidth="1"/>
    <col min="8" max="8" width="12.6640625" style="11" bestFit="1" customWidth="1"/>
    <col min="9" max="16384" width="8.88671875" style="11"/>
  </cols>
  <sheetData>
    <row r="1" spans="1:10">
      <c r="A1" s="9" t="s">
        <v>20</v>
      </c>
      <c r="B1" s="9" t="s">
        <v>21</v>
      </c>
      <c r="C1" s="9" t="s">
        <v>22</v>
      </c>
      <c r="D1" s="9" t="s">
        <v>23</v>
      </c>
      <c r="E1" s="9" t="s">
        <v>24</v>
      </c>
      <c r="G1" s="28" t="s">
        <v>21</v>
      </c>
      <c r="H1" s="28"/>
      <c r="J1" s="10" t="s">
        <v>132</v>
      </c>
    </row>
    <row r="2" spans="1:10">
      <c r="A2" s="17">
        <v>1</v>
      </c>
      <c r="B2" s="17">
        <v>78</v>
      </c>
      <c r="C2" s="17">
        <v>5</v>
      </c>
      <c r="D2" s="17">
        <v>10</v>
      </c>
      <c r="E2" s="17" t="s">
        <v>25</v>
      </c>
      <c r="G2" s="29"/>
      <c r="H2" s="29"/>
      <c r="J2" s="8" t="s">
        <v>133</v>
      </c>
    </row>
    <row r="3" spans="1:10">
      <c r="A3" s="17">
        <v>2</v>
      </c>
      <c r="B3" s="17">
        <v>79</v>
      </c>
      <c r="C3" s="17">
        <v>12</v>
      </c>
      <c r="D3" s="17">
        <v>48</v>
      </c>
      <c r="E3" s="17" t="s">
        <v>26</v>
      </c>
      <c r="G3" s="29" t="s">
        <v>120</v>
      </c>
      <c r="H3" s="29">
        <v>74.239999999999995</v>
      </c>
      <c r="J3" s="23" t="s">
        <v>134</v>
      </c>
    </row>
    <row r="4" spans="1:10">
      <c r="A4" s="17">
        <v>3</v>
      </c>
      <c r="B4" s="17">
        <v>62</v>
      </c>
      <c r="C4" s="17">
        <v>15</v>
      </c>
      <c r="D4" s="17">
        <v>29</v>
      </c>
      <c r="E4" s="17" t="s">
        <v>25</v>
      </c>
      <c r="G4" s="29" t="s">
        <v>41</v>
      </c>
      <c r="H4" s="29">
        <v>1.9708542986904594</v>
      </c>
      <c r="J4" s="8" t="s">
        <v>151</v>
      </c>
    </row>
    <row r="5" spans="1:10">
      <c r="A5" s="17">
        <v>4</v>
      </c>
      <c r="B5" s="17">
        <v>73</v>
      </c>
      <c r="C5" s="17">
        <v>13</v>
      </c>
      <c r="D5" s="17">
        <v>16</v>
      </c>
      <c r="E5" s="17" t="s">
        <v>25</v>
      </c>
      <c r="G5" s="29" t="s">
        <v>121</v>
      </c>
      <c r="H5" s="29">
        <v>73</v>
      </c>
    </row>
    <row r="6" spans="1:10">
      <c r="A6" s="17">
        <v>5</v>
      </c>
      <c r="B6" s="17">
        <v>91</v>
      </c>
      <c r="C6" s="17">
        <v>9</v>
      </c>
      <c r="D6" s="17">
        <v>26</v>
      </c>
      <c r="E6" s="17" t="s">
        <v>27</v>
      </c>
      <c r="G6" s="29" t="s">
        <v>122</v>
      </c>
      <c r="H6" s="29">
        <v>79</v>
      </c>
      <c r="J6" s="8" t="s">
        <v>135</v>
      </c>
    </row>
    <row r="7" spans="1:10">
      <c r="A7" s="17">
        <v>6</v>
      </c>
      <c r="B7" s="17">
        <v>65</v>
      </c>
      <c r="C7" s="17">
        <v>1</v>
      </c>
      <c r="D7" s="17">
        <v>15</v>
      </c>
      <c r="E7" s="17" t="s">
        <v>27</v>
      </c>
      <c r="G7" s="29" t="s">
        <v>123</v>
      </c>
      <c r="H7" s="29">
        <v>9.8542714934522966</v>
      </c>
      <c r="J7" s="23" t="s">
        <v>136</v>
      </c>
    </row>
    <row r="8" spans="1:10">
      <c r="A8" s="17">
        <v>7</v>
      </c>
      <c r="B8" s="17">
        <v>65</v>
      </c>
      <c r="C8" s="17">
        <v>12</v>
      </c>
      <c r="D8" s="17">
        <v>66</v>
      </c>
      <c r="E8" s="17" t="s">
        <v>27</v>
      </c>
      <c r="G8" s="29" t="s">
        <v>124</v>
      </c>
      <c r="H8" s="29">
        <v>97.10666666666657</v>
      </c>
      <c r="J8" s="8" t="s">
        <v>152</v>
      </c>
    </row>
    <row r="9" spans="1:10">
      <c r="A9" s="17">
        <v>8</v>
      </c>
      <c r="B9" s="17">
        <v>73</v>
      </c>
      <c r="C9" s="17">
        <v>1</v>
      </c>
      <c r="D9" s="17">
        <v>77</v>
      </c>
      <c r="E9" s="17" t="s">
        <v>28</v>
      </c>
      <c r="G9" s="29" t="s">
        <v>125</v>
      </c>
      <c r="H9" s="29">
        <v>-0.83055313433735334</v>
      </c>
    </row>
    <row r="10" spans="1:10">
      <c r="A10" s="17">
        <v>9</v>
      </c>
      <c r="B10" s="17">
        <v>76</v>
      </c>
      <c r="C10" s="17">
        <v>13</v>
      </c>
      <c r="D10" s="17">
        <v>42</v>
      </c>
      <c r="E10" s="17" t="s">
        <v>27</v>
      </c>
      <c r="G10" s="29" t="s">
        <v>126</v>
      </c>
      <c r="H10" s="29">
        <v>0.42348341544268348</v>
      </c>
      <c r="J10" s="8" t="s">
        <v>137</v>
      </c>
    </row>
    <row r="11" spans="1:10">
      <c r="A11" s="17">
        <v>10</v>
      </c>
      <c r="B11" s="17">
        <v>82</v>
      </c>
      <c r="C11" s="17">
        <v>13</v>
      </c>
      <c r="D11" s="17">
        <v>50</v>
      </c>
      <c r="E11" s="17" t="s">
        <v>27</v>
      </c>
      <c r="G11" s="29" t="s">
        <v>127</v>
      </c>
      <c r="H11" s="29">
        <v>34</v>
      </c>
      <c r="J11" s="23" t="s">
        <v>141</v>
      </c>
    </row>
    <row r="12" spans="1:10">
      <c r="A12" s="17">
        <v>11</v>
      </c>
      <c r="B12" s="17">
        <v>90</v>
      </c>
      <c r="C12" s="17">
        <v>1</v>
      </c>
      <c r="D12" s="17">
        <v>20</v>
      </c>
      <c r="E12" s="17" t="s">
        <v>25</v>
      </c>
      <c r="G12" s="29" t="s">
        <v>128</v>
      </c>
      <c r="H12" s="29">
        <v>60</v>
      </c>
      <c r="J12" s="8" t="s">
        <v>153</v>
      </c>
    </row>
    <row r="13" spans="1:10">
      <c r="A13" s="17">
        <v>12</v>
      </c>
      <c r="B13" s="17">
        <v>79</v>
      </c>
      <c r="C13" s="17">
        <v>4</v>
      </c>
      <c r="D13" s="17">
        <v>15</v>
      </c>
      <c r="E13" s="17" t="s">
        <v>25</v>
      </c>
      <c r="G13" s="29" t="s">
        <v>129</v>
      </c>
      <c r="H13" s="29">
        <v>94</v>
      </c>
    </row>
    <row r="14" spans="1:10">
      <c r="A14" s="17">
        <v>13</v>
      </c>
      <c r="B14" s="17">
        <v>94</v>
      </c>
      <c r="C14" s="17">
        <v>8</v>
      </c>
      <c r="D14" s="17">
        <v>64</v>
      </c>
      <c r="E14" s="17" t="s">
        <v>28</v>
      </c>
      <c r="G14" s="29" t="s">
        <v>130</v>
      </c>
      <c r="H14" s="29">
        <v>1856</v>
      </c>
      <c r="J14" s="8" t="s">
        <v>138</v>
      </c>
    </row>
    <row r="15" spans="1:10" ht="16.2" thickBot="1">
      <c r="A15" s="17">
        <v>14</v>
      </c>
      <c r="B15" s="17">
        <v>60</v>
      </c>
      <c r="C15" s="17">
        <v>12</v>
      </c>
      <c r="D15" s="17">
        <v>75</v>
      </c>
      <c r="E15" s="17" t="s">
        <v>25</v>
      </c>
      <c r="G15" s="30" t="s">
        <v>131</v>
      </c>
      <c r="H15" s="30">
        <v>25</v>
      </c>
      <c r="J15" s="23" t="s">
        <v>142</v>
      </c>
    </row>
    <row r="16" spans="1:10">
      <c r="A16" s="17">
        <v>15</v>
      </c>
      <c r="B16" s="17">
        <v>63</v>
      </c>
      <c r="C16" s="17">
        <v>10</v>
      </c>
      <c r="D16" s="17">
        <v>33</v>
      </c>
      <c r="E16" s="17" t="s">
        <v>26</v>
      </c>
      <c r="J16" s="8" t="s">
        <v>154</v>
      </c>
    </row>
    <row r="17" spans="1:10">
      <c r="A17" s="17">
        <v>16</v>
      </c>
      <c r="B17" s="17">
        <v>72</v>
      </c>
      <c r="C17" s="17">
        <v>3</v>
      </c>
      <c r="D17" s="17">
        <v>38</v>
      </c>
      <c r="E17" s="17" t="s">
        <v>26</v>
      </c>
    </row>
    <row r="18" spans="1:10">
      <c r="A18" s="17">
        <v>17</v>
      </c>
      <c r="B18" s="17">
        <v>71</v>
      </c>
      <c r="C18" s="17">
        <v>8</v>
      </c>
      <c r="D18" s="17">
        <v>36</v>
      </c>
      <c r="E18" s="17" t="s">
        <v>26</v>
      </c>
      <c r="J18" s="8" t="s">
        <v>139</v>
      </c>
    </row>
    <row r="19" spans="1:10">
      <c r="A19" s="17">
        <v>18</v>
      </c>
      <c r="B19" s="17">
        <v>84</v>
      </c>
      <c r="C19" s="17">
        <v>9</v>
      </c>
      <c r="D19" s="17">
        <v>70</v>
      </c>
      <c r="E19" s="17" t="s">
        <v>26</v>
      </c>
      <c r="J19" s="23" t="s">
        <v>143</v>
      </c>
    </row>
    <row r="20" spans="1:10">
      <c r="A20" s="17">
        <v>19</v>
      </c>
      <c r="B20" s="17">
        <v>86</v>
      </c>
      <c r="C20" s="17">
        <v>6</v>
      </c>
      <c r="D20" s="17">
        <v>29</v>
      </c>
      <c r="E20" s="17" t="s">
        <v>25</v>
      </c>
      <c r="J20" s="8" t="s">
        <v>155</v>
      </c>
    </row>
    <row r="21" spans="1:10">
      <c r="A21" s="17">
        <v>20</v>
      </c>
      <c r="B21" s="17">
        <v>70</v>
      </c>
      <c r="C21" s="17">
        <v>15</v>
      </c>
      <c r="D21" s="17">
        <v>15</v>
      </c>
      <c r="E21" s="17" t="s">
        <v>26</v>
      </c>
      <c r="J21" s="25"/>
    </row>
    <row r="22" spans="1:10">
      <c r="A22" s="17">
        <v>21</v>
      </c>
      <c r="B22" s="17">
        <v>62</v>
      </c>
      <c r="C22" s="17">
        <v>13</v>
      </c>
      <c r="D22" s="17">
        <v>80</v>
      </c>
      <c r="E22" s="17" t="s">
        <v>25</v>
      </c>
      <c r="J22" s="8" t="s">
        <v>140</v>
      </c>
    </row>
    <row r="23" spans="1:10">
      <c r="A23" s="17">
        <v>22</v>
      </c>
      <c r="B23" s="17">
        <v>67</v>
      </c>
      <c r="C23" s="17">
        <v>8</v>
      </c>
      <c r="D23" s="17">
        <v>25</v>
      </c>
      <c r="E23" s="17" t="s">
        <v>26</v>
      </c>
      <c r="J23" s="23" t="s">
        <v>144</v>
      </c>
    </row>
    <row r="24" spans="1:10">
      <c r="A24" s="17">
        <v>23</v>
      </c>
      <c r="B24" s="17">
        <v>66</v>
      </c>
      <c r="C24" s="17">
        <v>5</v>
      </c>
      <c r="D24" s="17">
        <v>57</v>
      </c>
      <c r="E24" s="17" t="s">
        <v>26</v>
      </c>
      <c r="J24" s="8" t="s">
        <v>156</v>
      </c>
    </row>
    <row r="25" spans="1:10">
      <c r="A25" s="17">
        <v>24</v>
      </c>
      <c r="B25" s="17">
        <v>67</v>
      </c>
      <c r="C25" s="17">
        <v>10</v>
      </c>
      <c r="D25" s="17">
        <v>11</v>
      </c>
      <c r="E25" s="17" t="s">
        <v>28</v>
      </c>
    </row>
    <row r="26" spans="1:10">
      <c r="A26" s="17">
        <v>25</v>
      </c>
      <c r="B26" s="17">
        <v>81</v>
      </c>
      <c r="C26" s="17">
        <v>2</v>
      </c>
      <c r="D26" s="17">
        <v>58</v>
      </c>
      <c r="E26" s="17" t="s">
        <v>26</v>
      </c>
    </row>
    <row r="27" spans="1:10">
      <c r="G27" s="10" t="s">
        <v>60</v>
      </c>
    </row>
    <row r="29" spans="1:10">
      <c r="G29" s="8" t="s">
        <v>145</v>
      </c>
    </row>
    <row r="30" spans="1:10">
      <c r="G30" s="21" t="s">
        <v>157</v>
      </c>
      <c r="J30" s="25"/>
    </row>
    <row r="31" spans="1:10">
      <c r="G31" s="21" t="s">
        <v>146</v>
      </c>
    </row>
    <row r="33" spans="7:7">
      <c r="G33" s="8" t="s">
        <v>147</v>
      </c>
    </row>
    <row r="34" spans="7:7">
      <c r="G34" s="21" t="s">
        <v>158</v>
      </c>
    </row>
    <row r="35" spans="7:7">
      <c r="G35" s="21" t="s">
        <v>148</v>
      </c>
    </row>
    <row r="37" spans="7:7">
      <c r="G37" s="8" t="s">
        <v>149</v>
      </c>
    </row>
    <row r="38" spans="7:7">
      <c r="G38" s="21" t="s">
        <v>159</v>
      </c>
    </row>
    <row r="39" spans="7:7">
      <c r="G39" s="21" t="s">
        <v>150</v>
      </c>
    </row>
  </sheetData>
  <pageMargins left="0.75" right="0.75" top="1" bottom="1" header="0.5" footer="0.5"/>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dimension ref="A1:L18"/>
  <sheetViews>
    <sheetView topLeftCell="A6" workbookViewId="0">
      <selection activeCell="K29" sqref="K29:K32"/>
    </sheetView>
  </sheetViews>
  <sheetFormatPr defaultRowHeight="15.6"/>
  <cols>
    <col min="1" max="1" width="17.21875" style="11" customWidth="1"/>
    <col min="2" max="2" width="8.33203125" style="11" bestFit="1" customWidth="1"/>
    <col min="3" max="10" width="8.88671875" style="11"/>
    <col min="11" max="11" width="18" style="11" bestFit="1" customWidth="1"/>
    <col min="12" max="12" width="23.33203125" style="11" bestFit="1" customWidth="1"/>
    <col min="13" max="16384" width="8.88671875" style="11"/>
  </cols>
  <sheetData>
    <row r="1" spans="1:12">
      <c r="A1" s="31" t="s">
        <v>29</v>
      </c>
      <c r="B1" s="31" t="s">
        <v>21</v>
      </c>
      <c r="C1" s="31" t="s">
        <v>30</v>
      </c>
    </row>
    <row r="2" spans="1:12">
      <c r="A2" s="32" t="s">
        <v>31</v>
      </c>
      <c r="B2" s="32">
        <v>85</v>
      </c>
      <c r="C2" s="32"/>
      <c r="E2" s="33" t="s">
        <v>174</v>
      </c>
      <c r="K2" s="34" t="s">
        <v>163</v>
      </c>
      <c r="L2" s="34" t="s">
        <v>164</v>
      </c>
    </row>
    <row r="3" spans="1:12">
      <c r="A3" s="32" t="s">
        <v>32</v>
      </c>
      <c r="B3" s="32">
        <v>78</v>
      </c>
      <c r="C3" s="32"/>
      <c r="E3" s="33" t="s">
        <v>175</v>
      </c>
      <c r="K3" s="35">
        <v>0.85</v>
      </c>
      <c r="L3" s="36" t="s">
        <v>168</v>
      </c>
    </row>
    <row r="4" spans="1:12">
      <c r="A4" s="32" t="s">
        <v>33</v>
      </c>
      <c r="B4" s="32">
        <v>92</v>
      </c>
      <c r="C4" s="32"/>
      <c r="K4" s="34" t="s">
        <v>165</v>
      </c>
      <c r="L4" s="36" t="s">
        <v>169</v>
      </c>
    </row>
    <row r="5" spans="1:12" ht="16.2" customHeight="1">
      <c r="A5" s="37" t="s">
        <v>160</v>
      </c>
      <c r="B5" s="31">
        <f>AVERAGE(B2:B4)</f>
        <v>85</v>
      </c>
      <c r="C5" s="38">
        <f>100%-SUM(C6:C8)</f>
        <v>0.35</v>
      </c>
      <c r="K5" s="35">
        <v>0.9</v>
      </c>
      <c r="L5" s="36" t="s">
        <v>167</v>
      </c>
    </row>
    <row r="6" spans="1:12" ht="13.8" customHeight="1">
      <c r="A6" s="32" t="s">
        <v>161</v>
      </c>
      <c r="B6" s="32">
        <v>88</v>
      </c>
      <c r="C6" s="39">
        <v>0.25</v>
      </c>
      <c r="K6" s="34" t="s">
        <v>166</v>
      </c>
      <c r="L6" s="36" t="s">
        <v>170</v>
      </c>
    </row>
    <row r="7" spans="1:12">
      <c r="A7" s="32" t="s">
        <v>34</v>
      </c>
      <c r="B7" s="32">
        <v>95.833333333333172</v>
      </c>
      <c r="C7" s="39">
        <v>0.3</v>
      </c>
    </row>
    <row r="8" spans="1:12">
      <c r="A8" s="15" t="s">
        <v>35</v>
      </c>
      <c r="B8" s="40">
        <v>95</v>
      </c>
      <c r="C8" s="41">
        <v>0.1</v>
      </c>
    </row>
    <row r="9" spans="1:12">
      <c r="A9" s="40" t="s">
        <v>162</v>
      </c>
      <c r="B9" s="15">
        <f>(B5*C5)+(B6*C6)+(B7*C7)+(B8*C8)</f>
        <v>89.999999999999943</v>
      </c>
      <c r="C9" s="15"/>
      <c r="E9" s="10" t="s">
        <v>60</v>
      </c>
    </row>
    <row r="10" spans="1:12">
      <c r="E10" s="8" t="s">
        <v>171</v>
      </c>
    </row>
    <row r="11" spans="1:12">
      <c r="E11" s="21" t="s">
        <v>176</v>
      </c>
    </row>
    <row r="13" spans="1:12">
      <c r="E13" s="8" t="s">
        <v>172</v>
      </c>
    </row>
    <row r="14" spans="1:12">
      <c r="E14" s="21" t="s">
        <v>177</v>
      </c>
    </row>
    <row r="15" spans="1:12">
      <c r="E15" s="21" t="s">
        <v>178</v>
      </c>
    </row>
    <row r="16" spans="1:12">
      <c r="E16" s="21"/>
    </row>
    <row r="17" spans="5:5">
      <c r="E17" s="8" t="s">
        <v>173</v>
      </c>
    </row>
    <row r="18" spans="5:5">
      <c r="E18" s="21" t="s">
        <v>179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sheetPr>
    <outlinePr summaryBelow="0"/>
  </sheetPr>
  <dimension ref="B1:G15"/>
  <sheetViews>
    <sheetView showGridLines="0" workbookViewId="0">
      <selection activeCell="H21" sqref="H21"/>
    </sheetView>
  </sheetViews>
  <sheetFormatPr defaultRowHeight="14.4" outlineLevelRow="1" outlineLevelCol="1"/>
  <cols>
    <col min="3" max="3" width="21.88671875" bestFit="1" customWidth="1"/>
    <col min="4" max="7" width="13.109375" bestFit="1" customWidth="1" outlineLevel="1"/>
  </cols>
  <sheetData>
    <row r="1" spans="2:7" ht="15" thickBot="1"/>
    <row r="2" spans="2:7" ht="15.6">
      <c r="B2" s="44" t="s">
        <v>197</v>
      </c>
      <c r="C2" s="44"/>
      <c r="D2" s="49"/>
      <c r="E2" s="49"/>
      <c r="F2" s="49"/>
      <c r="G2" s="49"/>
    </row>
    <row r="3" spans="2:7" ht="15.6" collapsed="1">
      <c r="B3" s="43"/>
      <c r="C3" s="43"/>
      <c r="D3" s="50" t="s">
        <v>199</v>
      </c>
      <c r="E3" s="50" t="s">
        <v>193</v>
      </c>
      <c r="F3" s="50" t="s">
        <v>195</v>
      </c>
      <c r="G3" s="50" t="s">
        <v>196</v>
      </c>
    </row>
    <row r="4" spans="2:7" ht="61.2" hidden="1" outlineLevel="1">
      <c r="B4" s="46"/>
      <c r="C4" s="46"/>
      <c r="D4" s="3"/>
      <c r="E4" s="53" t="s">
        <v>194</v>
      </c>
      <c r="F4" s="53" t="s">
        <v>204</v>
      </c>
      <c r="G4" s="53" t="s">
        <v>204</v>
      </c>
    </row>
    <row r="5" spans="2:7">
      <c r="B5" s="47" t="s">
        <v>198</v>
      </c>
      <c r="C5" s="47"/>
      <c r="D5" s="45"/>
      <c r="E5" s="45"/>
      <c r="F5" s="45"/>
      <c r="G5" s="45"/>
    </row>
    <row r="6" spans="2:7" outlineLevel="1">
      <c r="B6" s="46"/>
      <c r="C6" s="56" t="s">
        <v>181</v>
      </c>
      <c r="D6" s="42">
        <v>8000</v>
      </c>
      <c r="E6" s="51">
        <v>8000</v>
      </c>
      <c r="F6" s="51">
        <v>8800</v>
      </c>
      <c r="G6" s="51">
        <v>6800</v>
      </c>
    </row>
    <row r="7" spans="2:7" outlineLevel="1">
      <c r="B7" s="46"/>
      <c r="C7" s="56" t="s">
        <v>182</v>
      </c>
      <c r="D7" s="3">
        <v>45</v>
      </c>
      <c r="E7" s="52">
        <v>45</v>
      </c>
      <c r="F7" s="52">
        <v>49.5</v>
      </c>
      <c r="G7" s="52">
        <v>38.25</v>
      </c>
    </row>
    <row r="8" spans="2:7" outlineLevel="1">
      <c r="B8" s="46"/>
      <c r="C8" s="56" t="s">
        <v>183</v>
      </c>
      <c r="D8" s="42">
        <v>2500</v>
      </c>
      <c r="E8" s="51">
        <v>2500</v>
      </c>
      <c r="F8" s="51">
        <v>2750</v>
      </c>
      <c r="G8" s="51">
        <v>2125</v>
      </c>
    </row>
    <row r="9" spans="2:7" outlineLevel="1">
      <c r="B9" s="46"/>
      <c r="C9" s="56" t="s">
        <v>184</v>
      </c>
      <c r="D9" s="42">
        <v>1500</v>
      </c>
      <c r="E9" s="51">
        <v>1500</v>
      </c>
      <c r="F9" s="51">
        <v>1650</v>
      </c>
      <c r="G9" s="51">
        <v>1275</v>
      </c>
    </row>
    <row r="10" spans="2:7" outlineLevel="1">
      <c r="B10" s="46"/>
      <c r="C10" s="56" t="s">
        <v>185</v>
      </c>
      <c r="D10" s="3">
        <v>150</v>
      </c>
      <c r="E10" s="52">
        <v>150</v>
      </c>
      <c r="F10" s="52">
        <v>120</v>
      </c>
      <c r="G10" s="52">
        <v>180</v>
      </c>
    </row>
    <row r="11" spans="2:7">
      <c r="B11" s="47" t="s">
        <v>200</v>
      </c>
      <c r="C11" s="47"/>
      <c r="D11" s="45"/>
      <c r="E11" s="45"/>
      <c r="F11" s="45"/>
      <c r="G11" s="45"/>
    </row>
    <row r="12" spans="2:7" ht="15" outlineLevel="1" thickBot="1">
      <c r="B12" s="48"/>
      <c r="C12" s="55" t="s">
        <v>206</v>
      </c>
      <c r="D12" s="4">
        <v>0</v>
      </c>
      <c r="E12" s="4">
        <v>0</v>
      </c>
      <c r="F12" s="4">
        <v>-4140</v>
      </c>
      <c r="G12" s="4">
        <v>5415</v>
      </c>
    </row>
    <row r="13" spans="2:7">
      <c r="B13" t="s">
        <v>201</v>
      </c>
    </row>
    <row r="14" spans="2:7">
      <c r="B14" t="s">
        <v>202</v>
      </c>
    </row>
    <row r="15" spans="2:7">
      <c r="B15" t="s">
        <v>203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26"/>
  <sheetViews>
    <sheetView workbookViewId="0">
      <selection activeCell="G16" sqref="G16"/>
    </sheetView>
  </sheetViews>
  <sheetFormatPr defaultRowHeight="14.4"/>
  <cols>
    <col min="1" max="1" width="27" bestFit="1" customWidth="1"/>
    <col min="2" max="2" width="7.109375" bestFit="1" customWidth="1"/>
    <col min="4" max="4" width="31.21875" bestFit="1" customWidth="1"/>
    <col min="5" max="5" width="20.88671875" bestFit="1" customWidth="1"/>
    <col min="6" max="6" width="25" bestFit="1" customWidth="1"/>
    <col min="7" max="7" width="21.88671875" bestFit="1" customWidth="1"/>
  </cols>
  <sheetData>
    <row r="1" spans="1:9" ht="15.6">
      <c r="A1" s="9" t="s">
        <v>187</v>
      </c>
      <c r="B1" s="9" t="s">
        <v>180</v>
      </c>
      <c r="C1" s="11"/>
      <c r="D1" s="11"/>
      <c r="E1" s="54" t="s">
        <v>208</v>
      </c>
      <c r="F1" s="11"/>
      <c r="G1" s="11"/>
      <c r="H1" s="11"/>
      <c r="I1" s="11"/>
    </row>
    <row r="2" spans="1:9" ht="15.6">
      <c r="A2" s="17" t="s">
        <v>181</v>
      </c>
      <c r="B2" s="57">
        <v>8000</v>
      </c>
      <c r="C2" s="11"/>
      <c r="D2" s="11"/>
      <c r="E2" s="11"/>
      <c r="F2" s="11"/>
      <c r="G2" s="11"/>
      <c r="H2" s="11"/>
      <c r="I2" s="11"/>
    </row>
    <row r="3" spans="1:9" ht="15.6">
      <c r="A3" s="17" t="s">
        <v>182</v>
      </c>
      <c r="B3" s="17">
        <v>45</v>
      </c>
      <c r="C3" s="11"/>
      <c r="D3" s="58" t="s">
        <v>209</v>
      </c>
      <c r="E3" s="58" t="s">
        <v>210</v>
      </c>
      <c r="F3" s="58" t="s">
        <v>211</v>
      </c>
      <c r="G3" s="58" t="s">
        <v>212</v>
      </c>
      <c r="H3" s="11"/>
      <c r="I3" s="11"/>
    </row>
    <row r="4" spans="1:9" ht="15.6">
      <c r="A4" s="17" t="s">
        <v>183</v>
      </c>
      <c r="B4" s="57">
        <v>2500</v>
      </c>
      <c r="C4" s="11"/>
      <c r="D4" s="24" t="s">
        <v>189</v>
      </c>
      <c r="E4" s="59">
        <f>B9</f>
        <v>12000</v>
      </c>
      <c r="F4" s="15">
        <f>B9*1.1</f>
        <v>13200.000000000002</v>
      </c>
      <c r="G4" s="15">
        <f>B9*0.85</f>
        <v>10200</v>
      </c>
      <c r="H4" s="11"/>
      <c r="I4" s="11"/>
    </row>
    <row r="5" spans="1:9" ht="15.6">
      <c r="A5" s="17" t="s">
        <v>184</v>
      </c>
      <c r="B5" s="57">
        <v>1500</v>
      </c>
      <c r="C5" s="11"/>
      <c r="D5" s="24" t="s">
        <v>213</v>
      </c>
      <c r="E5" s="15">
        <f>B7-B3</f>
        <v>80</v>
      </c>
      <c r="F5" s="15">
        <f>125-B3*1.1</f>
        <v>75.5</v>
      </c>
      <c r="G5" s="15">
        <f>B7-B3*0.85</f>
        <v>86.75</v>
      </c>
      <c r="H5" s="11"/>
      <c r="I5" s="11"/>
    </row>
    <row r="6" spans="1:9" ht="15.6">
      <c r="A6" s="17" t="s">
        <v>185</v>
      </c>
      <c r="B6" s="17">
        <v>150</v>
      </c>
      <c r="C6" s="11"/>
      <c r="D6" s="24" t="s">
        <v>214</v>
      </c>
      <c r="E6" s="61">
        <f>E4/E5</f>
        <v>150</v>
      </c>
      <c r="F6" s="62">
        <f>F4/F5</f>
        <v>174.83443708609275</v>
      </c>
      <c r="G6" s="62">
        <f>G4/G5</f>
        <v>117.57925072046109</v>
      </c>
      <c r="H6" s="16" t="s">
        <v>191</v>
      </c>
      <c r="I6" s="11"/>
    </row>
    <row r="7" spans="1:9" ht="15.6">
      <c r="A7" s="17" t="s">
        <v>186</v>
      </c>
      <c r="B7" s="17">
        <v>125</v>
      </c>
      <c r="C7" s="11"/>
      <c r="D7" s="24" t="s">
        <v>215</v>
      </c>
      <c r="E7" s="15">
        <v>150</v>
      </c>
      <c r="F7" s="15">
        <v>120</v>
      </c>
      <c r="G7" s="15">
        <v>180</v>
      </c>
      <c r="H7" s="11"/>
      <c r="I7" s="11"/>
    </row>
    <row r="8" spans="1:9" ht="15.6">
      <c r="A8" s="17"/>
      <c r="B8" s="17"/>
      <c r="C8" s="11"/>
      <c r="D8" s="24" t="s">
        <v>216</v>
      </c>
      <c r="E8" s="24" t="s">
        <v>217</v>
      </c>
      <c r="F8" s="24" t="s">
        <v>218</v>
      </c>
      <c r="G8" s="24" t="s">
        <v>219</v>
      </c>
      <c r="H8" s="11"/>
      <c r="I8" s="11"/>
    </row>
    <row r="9" spans="1:9" ht="15.6">
      <c r="A9" s="17" t="s">
        <v>207</v>
      </c>
      <c r="B9" s="57">
        <f>B2+B4+B5</f>
        <v>12000</v>
      </c>
      <c r="C9" s="11"/>
      <c r="D9" s="11"/>
      <c r="E9" s="11"/>
      <c r="F9" s="11"/>
      <c r="G9" s="11"/>
      <c r="H9" s="11"/>
      <c r="I9" s="11"/>
    </row>
    <row r="10" spans="1:9" ht="15.6">
      <c r="A10" s="17" t="s">
        <v>188</v>
      </c>
      <c r="B10" s="17">
        <f>B6*B7</f>
        <v>18750</v>
      </c>
      <c r="C10" s="11"/>
      <c r="D10" s="11"/>
      <c r="E10" s="11"/>
      <c r="F10" s="11"/>
      <c r="G10" s="11"/>
      <c r="H10" s="11"/>
      <c r="I10" s="11"/>
    </row>
    <row r="11" spans="1:9" ht="15.6">
      <c r="A11" s="17" t="s">
        <v>192</v>
      </c>
      <c r="B11" s="17">
        <f>B2+B4+B5+(B3*B6)</f>
        <v>18750</v>
      </c>
      <c r="C11" s="11"/>
      <c r="D11" s="10" t="s">
        <v>60</v>
      </c>
      <c r="E11" s="11"/>
      <c r="F11" s="11"/>
      <c r="G11" s="11"/>
      <c r="H11" s="11"/>
      <c r="I11" s="11"/>
    </row>
    <row r="12" spans="1:9" ht="15.6">
      <c r="A12" s="17" t="s">
        <v>206</v>
      </c>
      <c r="B12" s="60">
        <f>B10-B11</f>
        <v>0</v>
      </c>
      <c r="C12" s="16" t="s">
        <v>190</v>
      </c>
      <c r="D12" s="11"/>
      <c r="E12" s="11"/>
      <c r="F12" s="11"/>
      <c r="G12" s="11"/>
      <c r="H12" s="11"/>
      <c r="I12" s="11"/>
    </row>
    <row r="13" spans="1:9" ht="15.6">
      <c r="A13" s="17" t="s">
        <v>205</v>
      </c>
      <c r="B13" s="17">
        <f>B9/(B7-B3)</f>
        <v>150</v>
      </c>
      <c r="C13" s="11"/>
      <c r="D13" s="8" t="s">
        <v>220</v>
      </c>
      <c r="E13" s="11"/>
      <c r="F13" s="11"/>
      <c r="G13" s="11"/>
      <c r="H13" s="11"/>
      <c r="I13" s="11"/>
    </row>
    <row r="14" spans="1:9" ht="15.6">
      <c r="A14" s="11"/>
      <c r="B14" s="11"/>
      <c r="C14" s="11"/>
      <c r="D14" s="8" t="s">
        <v>228</v>
      </c>
      <c r="E14" s="11"/>
      <c r="F14" s="11"/>
      <c r="G14" s="11"/>
      <c r="H14" s="11"/>
      <c r="I14" s="11"/>
    </row>
    <row r="15" spans="1:9" ht="15.6">
      <c r="A15" s="11"/>
      <c r="B15" s="11"/>
      <c r="C15" s="11"/>
      <c r="D15" s="8" t="s">
        <v>221</v>
      </c>
      <c r="E15" s="11"/>
      <c r="F15" s="11"/>
      <c r="G15" s="11"/>
      <c r="H15" s="11"/>
      <c r="I15" s="11"/>
    </row>
    <row r="16" spans="1:9" ht="15.6">
      <c r="A16" s="11"/>
      <c r="B16" s="11"/>
      <c r="C16" s="11"/>
      <c r="D16" s="25" t="s">
        <v>222</v>
      </c>
      <c r="E16" s="11"/>
      <c r="F16" s="11"/>
      <c r="G16" s="11"/>
      <c r="H16" s="11"/>
      <c r="I16" s="11"/>
    </row>
    <row r="17" spans="1:9" ht="15.6">
      <c r="A17" s="11"/>
      <c r="B17" s="11"/>
      <c r="C17" s="11"/>
      <c r="D17" s="25" t="s">
        <v>223</v>
      </c>
      <c r="E17" s="11"/>
      <c r="F17" s="11"/>
      <c r="G17" s="11"/>
      <c r="H17" s="11"/>
      <c r="I17" s="11"/>
    </row>
    <row r="18" spans="1:9" ht="15.6">
      <c r="A18" s="11"/>
      <c r="B18" s="11"/>
      <c r="C18" s="11"/>
      <c r="D18" s="25" t="s">
        <v>224</v>
      </c>
      <c r="E18" s="11"/>
      <c r="F18" s="11"/>
      <c r="G18" s="11"/>
      <c r="H18" s="11"/>
      <c r="I18" s="11"/>
    </row>
    <row r="19" spans="1:9" ht="15.6">
      <c r="A19" s="11"/>
      <c r="B19" s="11"/>
      <c r="C19" s="11"/>
      <c r="D19" s="11" t="s">
        <v>229</v>
      </c>
      <c r="E19" s="11"/>
      <c r="F19" s="11"/>
      <c r="G19" s="11"/>
      <c r="H19" s="11"/>
      <c r="I19" s="11"/>
    </row>
    <row r="20" spans="1:9" ht="15.6">
      <c r="A20" s="11"/>
      <c r="B20" s="11"/>
      <c r="C20" s="11"/>
      <c r="D20" s="11"/>
      <c r="E20" s="11"/>
      <c r="F20" s="11"/>
      <c r="G20" s="11"/>
      <c r="H20" s="11"/>
      <c r="I20" s="11"/>
    </row>
    <row r="21" spans="1:9" ht="15.6">
      <c r="A21" s="11"/>
      <c r="B21" s="11"/>
      <c r="C21" s="11"/>
      <c r="D21" s="8" t="s">
        <v>225</v>
      </c>
      <c r="E21" s="11"/>
      <c r="F21" s="11"/>
      <c r="G21" s="11"/>
      <c r="H21" s="11"/>
      <c r="I21" s="11"/>
    </row>
    <row r="22" spans="1:9" ht="15.6">
      <c r="A22" s="11"/>
      <c r="B22" s="11"/>
      <c r="C22" s="11"/>
      <c r="D22" s="8" t="s">
        <v>230</v>
      </c>
      <c r="E22" s="11"/>
      <c r="F22" s="11"/>
      <c r="G22" s="11"/>
      <c r="H22" s="11"/>
      <c r="I22" s="11"/>
    </row>
    <row r="23" spans="1:9" ht="15.6">
      <c r="A23" s="11"/>
      <c r="B23" s="11"/>
      <c r="C23" s="11"/>
      <c r="D23" s="11"/>
      <c r="E23" s="11"/>
      <c r="F23" s="11"/>
      <c r="G23" s="11"/>
      <c r="H23" s="11"/>
      <c r="I23" s="11"/>
    </row>
    <row r="24" spans="1:9" ht="15.6">
      <c r="A24" s="11"/>
      <c r="B24" s="11"/>
      <c r="C24" s="11"/>
      <c r="D24" s="8" t="s">
        <v>226</v>
      </c>
      <c r="E24" s="11"/>
      <c r="F24" s="11"/>
      <c r="G24" s="11"/>
      <c r="H24" s="11"/>
      <c r="I24" s="11"/>
    </row>
    <row r="25" spans="1:9" ht="15.6">
      <c r="A25" s="11"/>
      <c r="B25" s="11"/>
      <c r="C25" s="11"/>
      <c r="D25" s="16" t="s">
        <v>227</v>
      </c>
      <c r="E25" s="11"/>
      <c r="F25" s="11"/>
      <c r="G25" s="11"/>
      <c r="H25" s="11"/>
      <c r="I25" s="11"/>
    </row>
    <row r="26" spans="1:9" ht="15.6">
      <c r="A26" s="11"/>
      <c r="B26" s="11"/>
      <c r="C26" s="11"/>
      <c r="D26" s="11"/>
      <c r="E26" s="11"/>
      <c r="F26" s="11"/>
      <c r="G26" s="11"/>
      <c r="H26" s="11"/>
      <c r="I26" s="11"/>
    </row>
  </sheetData>
  <scenarios current="0" sqref="B12">
    <scenario name="Expected" locked="1" count="5" user="Ritik kumar" comment="Created by Ritik kumar on 18-12-2025">
      <inputCells r="B2" val="8000" numFmtId="3"/>
      <inputCells r="B3" val="45"/>
      <inputCells r="B4" val="2500" numFmtId="3"/>
      <inputCells r="B5" val="1500" numFmtId="3"/>
      <inputCells r="B6" val="150"/>
    </scenario>
    <scenario name="Conservative" locked="1" count="5" user="Ritik kumar" comment="Created by Ritik kumar on 18-12-2025_x000a_Modified by Ritik kumar on 18-12-2025">
      <inputCells r="B2" val="8800" numFmtId="3"/>
      <inputCells r="B3" val="49.5"/>
      <inputCells r="B4" val="2750" numFmtId="3"/>
      <inputCells r="B5" val="1650" numFmtId="3"/>
      <inputCells r="B6" val="120"/>
    </scenario>
    <scenario name="Optimistic" locked="1" count="5" user="Ritik kumar" comment="Created by Ritik kumar on 18-12-2025_x000a_Modified by Ritik kumar on 18-12-2025">
      <inputCells r="B2" val="6800" numFmtId="3"/>
      <inputCells r="B3" val="38.25"/>
      <inputCells r="B4" val="2125" numFmtId="3"/>
      <inputCells r="B5" val="1275" numFmtId="3"/>
      <inputCells r="B6" val="180"/>
    </scenario>
  </scenarios>
  <pageMargins left="0.75" right="0.75" top="1" bottom="1" header="0.5" footer="0.5"/>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Correlation Analysis</vt:lpstr>
      <vt:lpstr>Regression Analysis</vt:lpstr>
      <vt:lpstr>Covariance Analysis</vt:lpstr>
      <vt:lpstr>Moving Average</vt:lpstr>
      <vt:lpstr>Descriptive Stats</vt:lpstr>
      <vt:lpstr>Goal Seek</vt:lpstr>
      <vt:lpstr>Scenario Summary</vt:lpstr>
      <vt:lpstr>Scenario Manager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Ritik kumar</cp:lastModifiedBy>
  <dcterms:created xsi:type="dcterms:W3CDTF">2025-12-16T04:34:18Z</dcterms:created>
  <dcterms:modified xsi:type="dcterms:W3CDTF">2025-12-18T13:10:25Z</dcterms:modified>
</cp:coreProperties>
</file>